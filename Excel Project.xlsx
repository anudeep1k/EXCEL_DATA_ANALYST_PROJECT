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UDEEP\Downloads\"/>
    </mc:Choice>
  </mc:AlternateContent>
  <xr:revisionPtr revIDLastSave="0" documentId="13_ncr:1_{8C0AE27D-EFE9-4F60-9981-B8F1D06D763D}" xr6:coauthVersionLast="47" xr6:coauthVersionMax="47" xr10:uidLastSave="{00000000-0000-0000-0000-000000000000}"/>
  <bookViews>
    <workbookView xWindow="-110" yWindow="-110" windowWidth="25820" windowHeight="15500" activeTab="3" xr2:uid="{00000000-000D-0000-FFFF-FFFF00000000}"/>
  </bookViews>
  <sheets>
    <sheet name="bike_buyers" sheetId="1" r:id="rId1"/>
    <sheet name="WORKING SHEET" sheetId="2" r:id="rId2"/>
    <sheet name="Pivot Table" sheetId="3" r:id="rId3"/>
    <sheet name="Dashboard" sheetId="8"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<sst xmlns="http://schemas.openxmlformats.org/spreadsheetml/2006/main" count="16274" uniqueCount="51">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</sst>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48"/>
      <color theme="1"/>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8"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64" fontId="0" fillId="0" borderId="0" xfId="0" applyNumberFormat="1"/>
    <xf numFmtId="0" fontId="18" fillId="0" borderId="0" xfId="0" applyFont="1"/>
    <xf numFmtId="0" fontId="0" fillId="33" borderId="0" xfId="0" applyFill="1"/>
    <xf numFmtId="0" fontId="0" fillId="34" borderId="0" xfId="0" applyFill="1"/>
    <xf numFmtId="0" fontId="19" fillId="34" borderId="0" xfId="0" applyFont="1" applyFill="1"/>
    <xf numFmtId="0" fontId="0" fillId="0" borderId="10" xfId="0" pivotButton="1" applyBorder="1" applyAlignment="1"/>
    <xf numFmtId="0" fontId="0" fillId="0" borderId="11" xfId="0" pivotButton="1" applyBorder="1" applyAlignment="1"/>
    <xf numFmtId="0" fontId="0" fillId="0" borderId="11" xfId="0" applyBorder="1" applyAlignment="1"/>
    <xf numFmtId="0" fontId="0" fillId="0" borderId="12" xfId="0" applyBorder="1" applyAlignment="1"/>
    <xf numFmtId="0" fontId="0" fillId="0" borderId="13" xfId="0" pivotButton="1" applyBorder="1" applyAlignment="1"/>
    <xf numFmtId="0" fontId="0" fillId="0" borderId="14" xfId="0" applyBorder="1" applyAlignment="1"/>
    <xf numFmtId="0" fontId="0" fillId="0" borderId="15" xfId="0" applyBorder="1" applyAlignment="1"/>
    <xf numFmtId="0" fontId="0" fillId="0" borderId="13" xfId="0" applyBorder="1" applyAlignment="1">
      <alignment horizontal="left"/>
    </xf>
    <xf numFmtId="0" fontId="0" fillId="0" borderId="16" xfId="0" applyBorder="1" applyAlignment="1">
      <alignment horizontal="left"/>
    </xf>
    <xf numFmtId="0" fontId="0" fillId="0" borderId="17" xfId="0" applyBorder="1" applyAlignment="1"/>
    <xf numFmtId="0" fontId="0" fillId="0" borderId="18" xfId="0" applyBorder="1" applyAlignment="1"/>
    <xf numFmtId="0" fontId="0" fillId="0" borderId="10" xfId="0" pivotButton="1" applyBorder="1"/>
    <xf numFmtId="0" fontId="0" fillId="0" borderId="11" xfId="0" pivotButton="1" applyBorder="1"/>
    <xf numFmtId="0" fontId="0" fillId="0" borderId="11" xfId="0" applyBorder="1"/>
    <xf numFmtId="0" fontId="0" fillId="0" borderId="12" xfId="0" applyBorder="1"/>
    <xf numFmtId="0" fontId="0" fillId="0" borderId="13" xfId="0" pivotButton="1" applyBorder="1"/>
    <xf numFmtId="0" fontId="0" fillId="0" borderId="14" xfId="0" applyBorder="1"/>
    <xf numFmtId="0" fontId="0" fillId="0" borderId="15" xfId="0" applyBorder="1"/>
    <xf numFmtId="0" fontId="0" fillId="0" borderId="17" xfId="0" applyBorder="1"/>
    <xf numFmtId="0" fontId="0" fillId="0" borderId="18" xfId="0" applyBorder="1"/>
    <xf numFmtId="0" fontId="0" fillId="0" borderId="14" xfId="0" pivotButton="1" applyBorder="1"/>
    <xf numFmtId="0" fontId="0" fillId="0" borderId="14" xfId="0" applyBorder="1" applyAlignment="1">
      <alignment horizontal="left"/>
    </xf>
    <xf numFmtId="165" fontId="0" fillId="0" borderId="1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horizontal style="thin">
          <color auto="1"/>
        </horizontal>
      </border>
    </dxf>
    <dxf>
      <border>
        <vertical style="thin">
          <color auto="1"/>
        </vertical>
      </border>
    </dxf>
    <dxf>
      <border>
        <vertical style="thin">
          <color auto="1"/>
        </vertical>
        <horizontal style="thin">
          <color auto="1"/>
        </horizontal>
      </border>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Table'!$A$5:$A$7</c:f>
              <c:strCache>
                <c:ptCount val="2"/>
                <c:pt idx="0">
                  <c:v>FEMALE</c:v>
                </c:pt>
                <c:pt idx="1">
                  <c:v>MALE</c:v>
                </c:pt>
              </c:strCache>
            </c:strRef>
          </c:cat>
          <c:val>
            <c:numRef>
              <c:f>'Pivot Table'!$B$5:$B$7</c:f>
              <c:numCache>
                <c:formatCode>_(* #,##0_);_(* \(#,##0\);_(* "-"??_);_(@_)</c:formatCode>
                <c:ptCount val="2"/>
                <c:pt idx="0">
                  <c:v>40000</c:v>
                </c:pt>
                <c:pt idx="1">
                  <c:v>60000</c:v>
                </c:pt>
              </c:numCache>
            </c:numRef>
          </c:val>
          <c:extLst>
            <c:ext xmlns:c16="http://schemas.microsoft.com/office/drawing/2014/chart" uri="{C3380CC4-5D6E-409C-BE32-E72D297353CC}">
              <c16:uniqueId val="{00000000-9982-427D-BFDC-CA6F9CFB9E6B}"/>
            </c:ext>
          </c:extLst>
        </c:ser>
        <c:ser>
          <c:idx val="1"/>
          <c:order val="1"/>
          <c:tx>
            <c:strRef>
              <c:f>'Pivot Table'!$C$3:$C$4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Table'!$A$5:$A$7</c:f>
              <c:strCache>
                <c:ptCount val="2"/>
                <c:pt idx="0">
                  <c:v>FEMALE</c:v>
                </c:pt>
                <c:pt idx="1">
                  <c:v>MALE</c:v>
                </c:pt>
              </c:strCache>
            </c:strRef>
          </c:cat>
          <c:val>
            <c:numRef>
              <c:f>'Pivot Table'!$C$5:$C$7</c:f>
              <c:numCache>
                <c:formatCode>_(* #,##0_);_(* \(#,##0\);_(* "-"??_);_(@_)</c:formatCode>
                <c:ptCount val="2"/>
                <c:pt idx="0">
                  <c:v>66666.666666666672</c:v>
                </c:pt>
                <c:pt idx="1">
                  <c:v>51666.666666666664</c:v>
                </c:pt>
              </c:numCache>
            </c:numRef>
          </c:val>
          <c:extLst>
            <c:ext xmlns:c16="http://schemas.microsoft.com/office/drawing/2014/chart" uri="{C3380CC4-5D6E-409C-BE32-E72D297353CC}">
              <c16:uniqueId val="{00000004-9982-427D-BFDC-CA6F9CFB9E6B}"/>
            </c:ext>
          </c:extLst>
        </c:ser>
        <c:dLbls>
          <c:showLegendKey val="0"/>
          <c:showVal val="0"/>
          <c:showCatName val="0"/>
          <c:showSerName val="0"/>
          <c:showPercent val="0"/>
          <c:showBubbleSize val="0"/>
        </c:dLbls>
        <c:gapWidth val="100"/>
        <c:overlap val="-24"/>
        <c:axId val="1827592431"/>
        <c:axId val="1827593391"/>
      </c:barChart>
      <c:catAx>
        <c:axId val="18275924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93391"/>
        <c:crosses val="autoZero"/>
        <c:auto val="1"/>
        <c:lblAlgn val="ctr"/>
        <c:lblOffset val="100"/>
        <c:noMultiLvlLbl val="0"/>
      </c:catAx>
      <c:valAx>
        <c:axId val="1827593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92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BF18-47EB-8E97-09B880F7B1BA}"/>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BF18-47EB-8E97-09B880F7B1BA}"/>
            </c:ext>
          </c:extLst>
        </c:ser>
        <c:dLbls>
          <c:showLegendKey val="0"/>
          <c:showVal val="0"/>
          <c:showCatName val="0"/>
          <c:showSerName val="0"/>
          <c:showPercent val="0"/>
          <c:showBubbleSize val="0"/>
        </c:dLbls>
        <c:smooth val="0"/>
        <c:axId val="1410669231"/>
        <c:axId val="1410674031"/>
      </c:lineChart>
      <c:catAx>
        <c:axId val="141066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674031"/>
        <c:crosses val="autoZero"/>
        <c:auto val="1"/>
        <c:lblAlgn val="ctr"/>
        <c:lblOffset val="100"/>
        <c:noMultiLvlLbl val="0"/>
      </c:catAx>
      <c:valAx>
        <c:axId val="141067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6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Middle age 31-54</c:v>
                </c:pt>
                <c:pt idx="1">
                  <c:v>Old 55+</c:v>
                </c:pt>
                <c:pt idx="2">
                  <c:v>Adolescent 0-30</c:v>
                </c:pt>
              </c:strCache>
            </c:strRef>
          </c:cat>
          <c:val>
            <c:numRef>
              <c:f>'Pivot Table'!$B$44:$B$47</c:f>
              <c:numCache>
                <c:formatCode>General</c:formatCode>
                <c:ptCount val="3"/>
                <c:pt idx="0">
                  <c:v>8</c:v>
                </c:pt>
                <c:pt idx="1">
                  <c:v>2</c:v>
                </c:pt>
                <c:pt idx="2">
                  <c:v>9</c:v>
                </c:pt>
              </c:numCache>
            </c:numRef>
          </c:val>
          <c:smooth val="0"/>
          <c:extLst>
            <c:ext xmlns:c16="http://schemas.microsoft.com/office/drawing/2014/chart" uri="{C3380CC4-5D6E-409C-BE32-E72D297353CC}">
              <c16:uniqueId val="{00000000-6E63-4DDE-9623-679C19A1EE8A}"/>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Middle age 31-54</c:v>
                </c:pt>
                <c:pt idx="1">
                  <c:v>Old 55+</c:v>
                </c:pt>
                <c:pt idx="2">
                  <c:v>Adolescent 0-30</c:v>
                </c:pt>
              </c:strCache>
            </c:strRef>
          </c:cat>
          <c:val>
            <c:numRef>
              <c:f>'Pivot Table'!$C$44:$C$47</c:f>
              <c:numCache>
                <c:formatCode>General</c:formatCode>
                <c:ptCount val="3"/>
                <c:pt idx="0">
                  <c:v>11</c:v>
                </c:pt>
                <c:pt idx="1">
                  <c:v>4</c:v>
                </c:pt>
                <c:pt idx="2">
                  <c:v>4</c:v>
                </c:pt>
              </c:numCache>
            </c:numRef>
          </c:val>
          <c:smooth val="0"/>
          <c:extLst>
            <c:ext xmlns:c16="http://schemas.microsoft.com/office/drawing/2014/chart" uri="{C3380CC4-5D6E-409C-BE32-E72D297353CC}">
              <c16:uniqueId val="{00000001-6E63-4DDE-9623-679C19A1EE8A}"/>
            </c:ext>
          </c:extLst>
        </c:ser>
        <c:dLbls>
          <c:showLegendKey val="0"/>
          <c:showVal val="0"/>
          <c:showCatName val="0"/>
          <c:showSerName val="0"/>
          <c:showPercent val="0"/>
          <c:showBubbleSize val="0"/>
        </c:dLbls>
        <c:marker val="1"/>
        <c:smooth val="0"/>
        <c:axId val="1404577887"/>
        <c:axId val="1404578847"/>
      </c:lineChart>
      <c:catAx>
        <c:axId val="140457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78847"/>
        <c:crosses val="autoZero"/>
        <c:auto val="1"/>
        <c:lblAlgn val="ctr"/>
        <c:lblOffset val="100"/>
        <c:noMultiLvlLbl val="0"/>
      </c:catAx>
      <c:valAx>
        <c:axId val="140457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77887"/>
        <c:crosses val="autoZero"/>
        <c:crossBetween val="between"/>
      </c:valAx>
      <c:spPr>
        <a:noFill/>
        <a:ln>
          <a:noFill/>
        </a:ln>
        <a:effectLst/>
      </c:spPr>
    </c:plotArea>
    <c:legend>
      <c:legendPos val="r"/>
      <c:layout>
        <c:manualLayout>
          <c:xMode val="edge"/>
          <c:yMode val="edge"/>
          <c:x val="0.78888888888888886"/>
          <c:y val="0.3975003645377661"/>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58705161854772E-2"/>
          <c:y val="0.13786818314377369"/>
          <c:w val="0.68065791776027995"/>
          <c:h val="0.65853091280256637"/>
        </c:manualLayout>
      </c:layout>
      <c:lineChart>
        <c:grouping val="stacked"/>
        <c:varyColors val="0"/>
        <c:ser>
          <c:idx val="0"/>
          <c:order val="0"/>
          <c:tx>
            <c:strRef>
              <c:f>'Pivot Table'!$B$62:$B$63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Table'!$A$64:$A$82</c:f>
              <c:strCache>
                <c:ptCount val="18"/>
                <c:pt idx="0">
                  <c:v>25</c:v>
                </c:pt>
                <c:pt idx="1">
                  <c:v>26</c:v>
                </c:pt>
                <c:pt idx="2">
                  <c:v>27</c:v>
                </c:pt>
                <c:pt idx="3">
                  <c:v>28</c:v>
                </c:pt>
                <c:pt idx="4">
                  <c:v>30</c:v>
                </c:pt>
                <c:pt idx="5">
                  <c:v>31</c:v>
                </c:pt>
                <c:pt idx="6">
                  <c:v>45</c:v>
                </c:pt>
                <c:pt idx="7">
                  <c:v>49</c:v>
                </c:pt>
                <c:pt idx="8">
                  <c:v>50</c:v>
                </c:pt>
                <c:pt idx="9">
                  <c:v>51</c:v>
                </c:pt>
                <c:pt idx="10">
                  <c:v>52</c:v>
                </c:pt>
                <c:pt idx="11">
                  <c:v>53</c:v>
                </c:pt>
                <c:pt idx="12">
                  <c:v>54</c:v>
                </c:pt>
                <c:pt idx="13">
                  <c:v>57</c:v>
                </c:pt>
                <c:pt idx="14">
                  <c:v>58</c:v>
                </c:pt>
                <c:pt idx="15">
                  <c:v>60</c:v>
                </c:pt>
                <c:pt idx="16">
                  <c:v>62</c:v>
                </c:pt>
                <c:pt idx="17">
                  <c:v>78</c:v>
                </c:pt>
              </c:strCache>
            </c:strRef>
          </c:cat>
          <c:val>
            <c:numRef>
              <c:f>'Pivot Table'!$B$64:$B$82</c:f>
              <c:numCache>
                <c:formatCode>General</c:formatCode>
                <c:ptCount val="18"/>
                <c:pt idx="1">
                  <c:v>2</c:v>
                </c:pt>
                <c:pt idx="2">
                  <c:v>1</c:v>
                </c:pt>
                <c:pt idx="4">
                  <c:v>6</c:v>
                </c:pt>
                <c:pt idx="5">
                  <c:v>5</c:v>
                </c:pt>
                <c:pt idx="7">
                  <c:v>1</c:v>
                </c:pt>
                <c:pt idx="9">
                  <c:v>1</c:v>
                </c:pt>
                <c:pt idx="10">
                  <c:v>1</c:v>
                </c:pt>
                <c:pt idx="13">
                  <c:v>1</c:v>
                </c:pt>
                <c:pt idx="17">
                  <c:v>1</c:v>
                </c:pt>
              </c:numCache>
            </c:numRef>
          </c:val>
          <c:smooth val="0"/>
          <c:extLst>
            <c:ext xmlns:c16="http://schemas.microsoft.com/office/drawing/2014/chart" uri="{C3380CC4-5D6E-409C-BE32-E72D297353CC}">
              <c16:uniqueId val="{00000000-8305-4955-9EF8-824E03A24A1D}"/>
            </c:ext>
          </c:extLst>
        </c:ser>
        <c:ser>
          <c:idx val="1"/>
          <c:order val="1"/>
          <c:tx>
            <c:strRef>
              <c:f>'Pivot Table'!$C$62:$C$63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Table'!$A$64:$A$82</c:f>
              <c:strCache>
                <c:ptCount val="18"/>
                <c:pt idx="0">
                  <c:v>25</c:v>
                </c:pt>
                <c:pt idx="1">
                  <c:v>26</c:v>
                </c:pt>
                <c:pt idx="2">
                  <c:v>27</c:v>
                </c:pt>
                <c:pt idx="3">
                  <c:v>28</c:v>
                </c:pt>
                <c:pt idx="4">
                  <c:v>30</c:v>
                </c:pt>
                <c:pt idx="5">
                  <c:v>31</c:v>
                </c:pt>
                <c:pt idx="6">
                  <c:v>45</c:v>
                </c:pt>
                <c:pt idx="7">
                  <c:v>49</c:v>
                </c:pt>
                <c:pt idx="8">
                  <c:v>50</c:v>
                </c:pt>
                <c:pt idx="9">
                  <c:v>51</c:v>
                </c:pt>
                <c:pt idx="10">
                  <c:v>52</c:v>
                </c:pt>
                <c:pt idx="11">
                  <c:v>53</c:v>
                </c:pt>
                <c:pt idx="12">
                  <c:v>54</c:v>
                </c:pt>
                <c:pt idx="13">
                  <c:v>57</c:v>
                </c:pt>
                <c:pt idx="14">
                  <c:v>58</c:v>
                </c:pt>
                <c:pt idx="15">
                  <c:v>60</c:v>
                </c:pt>
                <c:pt idx="16">
                  <c:v>62</c:v>
                </c:pt>
                <c:pt idx="17">
                  <c:v>78</c:v>
                </c:pt>
              </c:strCache>
            </c:strRef>
          </c:cat>
          <c:val>
            <c:numRef>
              <c:f>'Pivot Table'!$C$64:$C$82</c:f>
              <c:numCache>
                <c:formatCode>General</c:formatCode>
                <c:ptCount val="18"/>
                <c:pt idx="0">
                  <c:v>1</c:v>
                </c:pt>
                <c:pt idx="2">
                  <c:v>1</c:v>
                </c:pt>
                <c:pt idx="3">
                  <c:v>2</c:v>
                </c:pt>
                <c:pt idx="5">
                  <c:v>3</c:v>
                </c:pt>
                <c:pt idx="6">
                  <c:v>1</c:v>
                </c:pt>
                <c:pt idx="8">
                  <c:v>2</c:v>
                </c:pt>
                <c:pt idx="9">
                  <c:v>1</c:v>
                </c:pt>
                <c:pt idx="10">
                  <c:v>1</c:v>
                </c:pt>
                <c:pt idx="11">
                  <c:v>2</c:v>
                </c:pt>
                <c:pt idx="12">
                  <c:v>1</c:v>
                </c:pt>
                <c:pt idx="14">
                  <c:v>1</c:v>
                </c:pt>
                <c:pt idx="15">
                  <c:v>2</c:v>
                </c:pt>
                <c:pt idx="16">
                  <c:v>1</c:v>
                </c:pt>
              </c:numCache>
            </c:numRef>
          </c:val>
          <c:smooth val="0"/>
          <c:extLst>
            <c:ext xmlns:c16="http://schemas.microsoft.com/office/drawing/2014/chart" uri="{C3380CC4-5D6E-409C-BE32-E72D297353CC}">
              <c16:uniqueId val="{00000001-8305-4955-9EF8-824E03A24A1D}"/>
            </c:ext>
          </c:extLst>
        </c:ser>
        <c:dLbls>
          <c:showLegendKey val="0"/>
          <c:showVal val="0"/>
          <c:showCatName val="0"/>
          <c:showSerName val="0"/>
          <c:showPercent val="0"/>
          <c:showBubbleSize val="0"/>
        </c:dLbls>
        <c:marker val="1"/>
        <c:smooth val="0"/>
        <c:axId val="1139564671"/>
        <c:axId val="1139568031"/>
      </c:lineChart>
      <c:catAx>
        <c:axId val="113956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68031"/>
        <c:crosses val="autoZero"/>
        <c:auto val="1"/>
        <c:lblAlgn val="ctr"/>
        <c:lblOffset val="100"/>
        <c:noMultiLvlLbl val="0"/>
      </c:catAx>
      <c:valAx>
        <c:axId val="113956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6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Table'!$A$5:$A$7</c:f>
              <c:strCache>
                <c:ptCount val="2"/>
                <c:pt idx="0">
                  <c:v>FEMALE</c:v>
                </c:pt>
                <c:pt idx="1">
                  <c:v>MALE</c:v>
                </c:pt>
              </c:strCache>
            </c:strRef>
          </c:cat>
          <c:val>
            <c:numRef>
              <c:f>'Pivot Table'!$B$5:$B$7</c:f>
              <c:numCache>
                <c:formatCode>_(* #,##0_);_(* \(#,##0\);_(* "-"??_);_(@_)</c:formatCode>
                <c:ptCount val="2"/>
                <c:pt idx="0">
                  <c:v>40000</c:v>
                </c:pt>
                <c:pt idx="1">
                  <c:v>60000</c:v>
                </c:pt>
              </c:numCache>
            </c:numRef>
          </c:val>
          <c:extLst>
            <c:ext xmlns:c16="http://schemas.microsoft.com/office/drawing/2014/chart" uri="{C3380CC4-5D6E-409C-BE32-E72D297353CC}">
              <c16:uniqueId val="{00000000-CBFD-4312-B7BF-9CFB481F59E4}"/>
            </c:ext>
          </c:extLst>
        </c:ser>
        <c:ser>
          <c:idx val="1"/>
          <c:order val="1"/>
          <c:tx>
            <c:strRef>
              <c:f>'Pivot Table'!$C$3:$C$4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Table'!$A$5:$A$7</c:f>
              <c:strCache>
                <c:ptCount val="2"/>
                <c:pt idx="0">
                  <c:v>FEMALE</c:v>
                </c:pt>
                <c:pt idx="1">
                  <c:v>MALE</c:v>
                </c:pt>
              </c:strCache>
            </c:strRef>
          </c:cat>
          <c:val>
            <c:numRef>
              <c:f>'Pivot Table'!$C$5:$C$7</c:f>
              <c:numCache>
                <c:formatCode>_(* #,##0_);_(* \(#,##0\);_(* "-"??_);_(@_)</c:formatCode>
                <c:ptCount val="2"/>
                <c:pt idx="0">
                  <c:v>66666.666666666672</c:v>
                </c:pt>
                <c:pt idx="1">
                  <c:v>51666.666666666664</c:v>
                </c:pt>
              </c:numCache>
            </c:numRef>
          </c:val>
          <c:extLst>
            <c:ext xmlns:c16="http://schemas.microsoft.com/office/drawing/2014/chart" uri="{C3380CC4-5D6E-409C-BE32-E72D297353CC}">
              <c16:uniqueId val="{00000001-CBFD-4312-B7BF-9CFB481F59E4}"/>
            </c:ext>
          </c:extLst>
        </c:ser>
        <c:dLbls>
          <c:showLegendKey val="0"/>
          <c:showVal val="0"/>
          <c:showCatName val="0"/>
          <c:showSerName val="0"/>
          <c:showPercent val="0"/>
          <c:showBubbleSize val="0"/>
        </c:dLbls>
        <c:gapWidth val="100"/>
        <c:overlap val="-24"/>
        <c:axId val="1827592431"/>
        <c:axId val="1827593391"/>
      </c:barChart>
      <c:catAx>
        <c:axId val="18275924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93391"/>
        <c:crosses val="autoZero"/>
        <c:auto val="1"/>
        <c:lblAlgn val="ctr"/>
        <c:lblOffset val="100"/>
        <c:noMultiLvlLbl val="0"/>
      </c:catAx>
      <c:valAx>
        <c:axId val="1827593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92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4FF8-4C59-82F3-9D3AC0931216}"/>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4FF8-4C59-82F3-9D3AC0931216}"/>
            </c:ext>
          </c:extLst>
        </c:ser>
        <c:dLbls>
          <c:showLegendKey val="0"/>
          <c:showVal val="0"/>
          <c:showCatName val="0"/>
          <c:showSerName val="0"/>
          <c:showPercent val="0"/>
          <c:showBubbleSize val="0"/>
        </c:dLbls>
        <c:smooth val="0"/>
        <c:axId val="1410669231"/>
        <c:axId val="1410674031"/>
      </c:lineChart>
      <c:catAx>
        <c:axId val="141066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674031"/>
        <c:crosses val="autoZero"/>
        <c:auto val="1"/>
        <c:lblAlgn val="ctr"/>
        <c:lblOffset val="100"/>
        <c:noMultiLvlLbl val="0"/>
      </c:catAx>
      <c:valAx>
        <c:axId val="141067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6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15638670166229221"/>
          <c:w val="0.68065791776027995"/>
          <c:h val="0.65853091280256637"/>
        </c:manualLayout>
      </c:layout>
      <c:lineChart>
        <c:grouping val="stacked"/>
        <c:varyColors val="0"/>
        <c:ser>
          <c:idx val="0"/>
          <c:order val="0"/>
          <c:tx>
            <c:strRef>
              <c:f>'Pivot Table'!$B$62:$B$63</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Table'!$A$64:$A$82</c:f>
              <c:strCache>
                <c:ptCount val="18"/>
                <c:pt idx="0">
                  <c:v>25</c:v>
                </c:pt>
                <c:pt idx="1">
                  <c:v>26</c:v>
                </c:pt>
                <c:pt idx="2">
                  <c:v>27</c:v>
                </c:pt>
                <c:pt idx="3">
                  <c:v>28</c:v>
                </c:pt>
                <c:pt idx="4">
                  <c:v>30</c:v>
                </c:pt>
                <c:pt idx="5">
                  <c:v>31</c:v>
                </c:pt>
                <c:pt idx="6">
                  <c:v>45</c:v>
                </c:pt>
                <c:pt idx="7">
                  <c:v>49</c:v>
                </c:pt>
                <c:pt idx="8">
                  <c:v>50</c:v>
                </c:pt>
                <c:pt idx="9">
                  <c:v>51</c:v>
                </c:pt>
                <c:pt idx="10">
                  <c:v>52</c:v>
                </c:pt>
                <c:pt idx="11">
                  <c:v>53</c:v>
                </c:pt>
                <c:pt idx="12">
                  <c:v>54</c:v>
                </c:pt>
                <c:pt idx="13">
                  <c:v>57</c:v>
                </c:pt>
                <c:pt idx="14">
                  <c:v>58</c:v>
                </c:pt>
                <c:pt idx="15">
                  <c:v>60</c:v>
                </c:pt>
                <c:pt idx="16">
                  <c:v>62</c:v>
                </c:pt>
                <c:pt idx="17">
                  <c:v>78</c:v>
                </c:pt>
              </c:strCache>
            </c:strRef>
          </c:cat>
          <c:val>
            <c:numRef>
              <c:f>'Pivot Table'!$B$64:$B$82</c:f>
              <c:numCache>
                <c:formatCode>General</c:formatCode>
                <c:ptCount val="18"/>
                <c:pt idx="1">
                  <c:v>2</c:v>
                </c:pt>
                <c:pt idx="2">
                  <c:v>1</c:v>
                </c:pt>
                <c:pt idx="4">
                  <c:v>6</c:v>
                </c:pt>
                <c:pt idx="5">
                  <c:v>5</c:v>
                </c:pt>
                <c:pt idx="7">
                  <c:v>1</c:v>
                </c:pt>
                <c:pt idx="9">
                  <c:v>1</c:v>
                </c:pt>
                <c:pt idx="10">
                  <c:v>1</c:v>
                </c:pt>
                <c:pt idx="13">
                  <c:v>1</c:v>
                </c:pt>
                <c:pt idx="17">
                  <c:v>1</c:v>
                </c:pt>
              </c:numCache>
            </c:numRef>
          </c:val>
          <c:smooth val="0"/>
          <c:extLst>
            <c:ext xmlns:c16="http://schemas.microsoft.com/office/drawing/2014/chart" uri="{C3380CC4-5D6E-409C-BE32-E72D297353CC}">
              <c16:uniqueId val="{00000000-B2EB-4A63-BC6B-FBB6E614AD02}"/>
            </c:ext>
          </c:extLst>
        </c:ser>
        <c:ser>
          <c:idx val="1"/>
          <c:order val="1"/>
          <c:tx>
            <c:strRef>
              <c:f>'Pivot Table'!$C$62:$C$63</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Table'!$A$64:$A$82</c:f>
              <c:strCache>
                <c:ptCount val="18"/>
                <c:pt idx="0">
                  <c:v>25</c:v>
                </c:pt>
                <c:pt idx="1">
                  <c:v>26</c:v>
                </c:pt>
                <c:pt idx="2">
                  <c:v>27</c:v>
                </c:pt>
                <c:pt idx="3">
                  <c:v>28</c:v>
                </c:pt>
                <c:pt idx="4">
                  <c:v>30</c:v>
                </c:pt>
                <c:pt idx="5">
                  <c:v>31</c:v>
                </c:pt>
                <c:pt idx="6">
                  <c:v>45</c:v>
                </c:pt>
                <c:pt idx="7">
                  <c:v>49</c:v>
                </c:pt>
                <c:pt idx="8">
                  <c:v>50</c:v>
                </c:pt>
                <c:pt idx="9">
                  <c:v>51</c:v>
                </c:pt>
                <c:pt idx="10">
                  <c:v>52</c:v>
                </c:pt>
                <c:pt idx="11">
                  <c:v>53</c:v>
                </c:pt>
                <c:pt idx="12">
                  <c:v>54</c:v>
                </c:pt>
                <c:pt idx="13">
                  <c:v>57</c:v>
                </c:pt>
                <c:pt idx="14">
                  <c:v>58</c:v>
                </c:pt>
                <c:pt idx="15">
                  <c:v>60</c:v>
                </c:pt>
                <c:pt idx="16">
                  <c:v>62</c:v>
                </c:pt>
                <c:pt idx="17">
                  <c:v>78</c:v>
                </c:pt>
              </c:strCache>
            </c:strRef>
          </c:cat>
          <c:val>
            <c:numRef>
              <c:f>'Pivot Table'!$C$64:$C$82</c:f>
              <c:numCache>
                <c:formatCode>General</c:formatCode>
                <c:ptCount val="18"/>
                <c:pt idx="0">
                  <c:v>1</c:v>
                </c:pt>
                <c:pt idx="2">
                  <c:v>1</c:v>
                </c:pt>
                <c:pt idx="3">
                  <c:v>2</c:v>
                </c:pt>
                <c:pt idx="5">
                  <c:v>3</c:v>
                </c:pt>
                <c:pt idx="6">
                  <c:v>1</c:v>
                </c:pt>
                <c:pt idx="8">
                  <c:v>2</c:v>
                </c:pt>
                <c:pt idx="9">
                  <c:v>1</c:v>
                </c:pt>
                <c:pt idx="10">
                  <c:v>1</c:v>
                </c:pt>
                <c:pt idx="11">
                  <c:v>2</c:v>
                </c:pt>
                <c:pt idx="12">
                  <c:v>1</c:v>
                </c:pt>
                <c:pt idx="14">
                  <c:v>1</c:v>
                </c:pt>
                <c:pt idx="15">
                  <c:v>2</c:v>
                </c:pt>
                <c:pt idx="16">
                  <c:v>1</c:v>
                </c:pt>
              </c:numCache>
            </c:numRef>
          </c:val>
          <c:smooth val="0"/>
          <c:extLst>
            <c:ext xmlns:c16="http://schemas.microsoft.com/office/drawing/2014/chart" uri="{C3380CC4-5D6E-409C-BE32-E72D297353CC}">
              <c16:uniqueId val="{00000001-B2EB-4A63-BC6B-FBB6E614AD02}"/>
            </c:ext>
          </c:extLst>
        </c:ser>
        <c:dLbls>
          <c:dLblPos val="ctr"/>
          <c:showLegendKey val="0"/>
          <c:showVal val="1"/>
          <c:showCatName val="0"/>
          <c:showSerName val="0"/>
          <c:showPercent val="0"/>
          <c:showBubbleSize val="0"/>
        </c:dLbls>
        <c:marker val="1"/>
        <c:smooth val="0"/>
        <c:axId val="1139564671"/>
        <c:axId val="1139568031"/>
      </c:lineChart>
      <c:catAx>
        <c:axId val="113956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39568031"/>
        <c:crosses val="autoZero"/>
        <c:auto val="1"/>
        <c:lblAlgn val="ctr"/>
        <c:lblOffset val="100"/>
        <c:noMultiLvlLbl val="0"/>
      </c:catAx>
      <c:valAx>
        <c:axId val="11395680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6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596900</xdr:colOff>
      <xdr:row>1</xdr:row>
      <xdr:rowOff>12700</xdr:rowOff>
    </xdr:from>
    <xdr:to>
      <xdr:col>12</xdr:col>
      <xdr:colOff>292100</xdr:colOff>
      <xdr:row>15</xdr:row>
      <xdr:rowOff>177800</xdr:rowOff>
    </xdr:to>
    <xdr:graphicFrame macro="">
      <xdr:nvGraphicFramePr>
        <xdr:cNvPr id="2" name="Chart 1">
          <a:extLst>
            <a:ext uri="{FF2B5EF4-FFF2-40B4-BE49-F238E27FC236}">
              <a16:creationId xmlns:a16="http://schemas.microsoft.com/office/drawing/2014/main" id="{7C169827-F6CE-5390-B65A-5804EFC95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565150</xdr:colOff>
      <xdr:row>20</xdr:row>
      <xdr:rowOff>12700</xdr:rowOff>
    </xdr:from>
    <xdr:to>
      <xdr:col>12</xdr:col>
      <xdr:colOff>120650</xdr:colOff>
      <xdr:row>34</xdr:row>
      <xdr:rowOff>177800</xdr:rowOff>
    </xdr:to>
    <xdr:graphicFrame macro="">
      <xdr:nvGraphicFramePr>
        <xdr:cNvPr id="3" name="Chart 2">
          <a:extLst>
            <a:ext uri="{FF2B5EF4-FFF2-40B4-BE49-F238E27FC236}">
              <a16:creationId xmlns:a16="http://schemas.microsoft.com/office/drawing/2014/main" id="{1BA66C09-65C0-575F-F39F-5DE5B72DD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609600</xdr:colOff>
      <xdr:row>39</xdr:row>
      <xdr:rowOff>101600</xdr:rowOff>
    </xdr:from>
    <xdr:to>
      <xdr:col>12</xdr:col>
      <xdr:colOff>165100</xdr:colOff>
      <xdr:row>54</xdr:row>
      <xdr:rowOff>82550</xdr:rowOff>
    </xdr:to>
    <xdr:graphicFrame macro="">
      <xdr:nvGraphicFramePr>
        <xdr:cNvPr id="4" name="Chart 3">
          <a:extLst>
            <a:ext uri="{FF2B5EF4-FFF2-40B4-BE49-F238E27FC236}">
              <a16:creationId xmlns:a16="http://schemas.microsoft.com/office/drawing/2014/main" id="{6243EF45-8E3B-EBA4-9816-8CB74E3AF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60</xdr:row>
      <xdr:rowOff>158750</xdr:rowOff>
    </xdr:from>
    <xdr:to>
      <xdr:col>12</xdr:col>
      <xdr:colOff>146050</xdr:colOff>
      <xdr:row>75</xdr:row>
      <xdr:rowOff>139700</xdr:rowOff>
    </xdr:to>
    <xdr:graphicFrame macro="">
      <xdr:nvGraphicFramePr>
        <xdr:cNvPr id="5" name="Chart 4">
          <a:extLst>
            <a:ext uri="{FF2B5EF4-FFF2-40B4-BE49-F238E27FC236}">
              <a16:creationId xmlns:a16="http://schemas.microsoft.com/office/drawing/2014/main" id="{F3DDC1A7-15B3-7276-7012-87DED2073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425450</xdr:colOff>
      <xdr:row>2</xdr:row>
      <xdr:rowOff>31750</xdr:rowOff>
    </xdr:from>
    <xdr:to>
      <xdr:col>9</xdr:col>
      <xdr:colOff>139700</xdr:colOff>
      <xdr:row>17</xdr:row>
      <xdr:rowOff>57150</xdr:rowOff>
    </xdr:to>
    <xdr:graphicFrame macro="">
      <xdr:nvGraphicFramePr>
        <xdr:cNvPr id="2" name="Chart 1">
          <a:extLst>
            <a:ext uri="{FF2B5EF4-FFF2-40B4-BE49-F238E27FC236}">
              <a16:creationId xmlns:a16="http://schemas.microsoft.com/office/drawing/2014/main" id="{ACDE5BE6-698A-43B3-BAFD-86556BEFB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139700</xdr:colOff>
      <xdr:row>2</xdr:row>
      <xdr:rowOff>12700</xdr:rowOff>
    </xdr:from>
    <xdr:to>
      <xdr:col>15</xdr:col>
      <xdr:colOff>0</xdr:colOff>
      <xdr:row>17</xdr:row>
      <xdr:rowOff>63500</xdr:rowOff>
    </xdr:to>
    <xdr:graphicFrame macro="">
      <xdr:nvGraphicFramePr>
        <xdr:cNvPr id="3" name="Chart 2">
          <a:extLst>
            <a:ext uri="{FF2B5EF4-FFF2-40B4-BE49-F238E27FC236}">
              <a16:creationId xmlns:a16="http://schemas.microsoft.com/office/drawing/2014/main" id="{BA6F6E89-5277-424D-9E4F-31A2E9796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425450</xdr:colOff>
      <xdr:row>17</xdr:row>
      <xdr:rowOff>38100</xdr:rowOff>
    </xdr:from>
    <xdr:to>
      <xdr:col>14</xdr:col>
      <xdr:colOff>596900</xdr:colOff>
      <xdr:row>33</xdr:row>
      <xdr:rowOff>107950</xdr:rowOff>
    </xdr:to>
    <xdr:graphicFrame macro="">
      <xdr:nvGraphicFramePr>
        <xdr:cNvPr id="4" name="Chart 3">
          <a:extLst>
            <a:ext uri="{FF2B5EF4-FFF2-40B4-BE49-F238E27FC236}">
              <a16:creationId xmlns:a16="http://schemas.microsoft.com/office/drawing/2014/main" id="{F1E859DE-724B-4981-9E07-9E99C3F12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2</xdr:row>
      <xdr:rowOff>19051</xdr:rowOff>
    </xdr:from>
    <xdr:ext cx="1631950" cy="869949"/>
    <mc:AlternateContent xmlns:mc="http://schemas.openxmlformats.org/markup-compatibility/2006" xmlns:a14="http://schemas.microsoft.com/office/drawing/2010/main">
      <mc:Choice Requires="a14">
        <xdr:graphicFrame macro="">
          <xdr:nvGraphicFramePr>
            <xdr:cNvPr id="5" name="Marital Status 3">
              <a:extLst>
                <a:ext uri="{FF2B5EF4-FFF2-40B4-BE49-F238E27FC236}">
                  <a16:creationId xmlns:a16="http://schemas.microsoft.com/office/drawing/2014/main" id="{D2D0E97B-CB5B-49DD-8AD1-41B2F49B2A81}"/>
                </a:ext>
              </a:extLst>
            </xdr:cNvPr>
            <xdr:cNvGraphicFramePr/>
          </xdr:nvGraphicFramePr>
          <xdr:xfrm>
            <a:off x="0" y="0"/>
            <a:ext cx="0" cy="0"/>
          </xdr:xfrm>
          <a:graphic>
            <a:graphicData uri="http://schemas.microsoft.com/office/drawing/2010/slicer">
              <sle:slicer xmlns:sle="http://schemas.microsoft.com/office/drawing/2010/slicer" name="Marital Status 3"/>
            </a:graphicData>
          </a:graphic>
        </xdr:graphicFrame>
      </mc:Choice>
      <mc:Fallback xmlns="">
        <xdr:sp macro="" textlink="">
          <xdr:nvSpPr>
            <xdr:cNvPr id="0" name=""/>
            <xdr:cNvSpPr>
              <a:spLocks noTextEdit="1"/>
            </xdr:cNvSpPr>
          </xdr:nvSpPr>
          <xdr:spPr>
            <a:xfrm>
              <a:off x="0" y="1066801"/>
              <a:ext cx="1631950" cy="869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0</xdr:col>
      <xdr:colOff>12700</xdr:colOff>
      <xdr:row>13</xdr:row>
      <xdr:rowOff>57151</xdr:rowOff>
    </xdr:from>
    <xdr:to>
      <xdr:col>2</xdr:col>
      <xdr:colOff>425450</xdr:colOff>
      <xdr:row>22</xdr:row>
      <xdr:rowOff>82551</xdr:rowOff>
    </xdr:to>
    <mc:AlternateContent xmlns:mc="http://schemas.openxmlformats.org/markup-compatibility/2006" xmlns:a14="http://schemas.microsoft.com/office/drawing/2010/main">
      <mc:Choice Requires="a14">
        <xdr:graphicFrame macro="">
          <xdr:nvGraphicFramePr>
            <xdr:cNvPr id="6" name="Education 2">
              <a:extLst>
                <a:ext uri="{FF2B5EF4-FFF2-40B4-BE49-F238E27FC236}">
                  <a16:creationId xmlns:a16="http://schemas.microsoft.com/office/drawing/2014/main" id="{CCDDA137-C61C-4EAB-8B08-E52F9370F632}"/>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mlns="">
        <xdr:sp macro="" textlink="">
          <xdr:nvSpPr>
            <xdr:cNvPr id="0" name=""/>
            <xdr:cNvSpPr>
              <a:spLocks noTextEdit="1"/>
            </xdr:cNvSpPr>
          </xdr:nvSpPr>
          <xdr:spPr>
            <a:xfrm>
              <a:off x="12700" y="3130551"/>
              <a:ext cx="1631950" cy="168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6</xdr:row>
      <xdr:rowOff>171451</xdr:rowOff>
    </xdr:from>
    <xdr:to>
      <xdr:col>2</xdr:col>
      <xdr:colOff>425450</xdr:colOff>
      <xdr:row>13</xdr:row>
      <xdr:rowOff>44450</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4B20E9F1-0240-46B8-B2A2-E69B6C47BA7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700" y="1955801"/>
              <a:ext cx="163195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22</xdr:row>
      <xdr:rowOff>101601</xdr:rowOff>
    </xdr:from>
    <xdr:to>
      <xdr:col>2</xdr:col>
      <xdr:colOff>425450</xdr:colOff>
      <xdr:row>33</xdr:row>
      <xdr:rowOff>107951</xdr:rowOff>
    </xdr:to>
    <mc:AlternateContent xmlns:mc="http://schemas.openxmlformats.org/markup-compatibility/2006" xmlns:a14="http://schemas.microsoft.com/office/drawing/2010/main">
      <mc:Choice Requires="a14">
        <xdr:graphicFrame macro="">
          <xdr:nvGraphicFramePr>
            <xdr:cNvPr id="8" name="Occupation 2">
              <a:extLst>
                <a:ext uri="{FF2B5EF4-FFF2-40B4-BE49-F238E27FC236}">
                  <a16:creationId xmlns:a16="http://schemas.microsoft.com/office/drawing/2014/main" id="{B6EE8A18-C9DA-47DB-837B-82FC4E6BC121}"/>
                </a:ext>
              </a:extLst>
            </xdr:cNvPr>
            <xdr:cNvGraphicFramePr/>
          </xdr:nvGraphicFramePr>
          <xdr:xfrm>
            <a:off x="0" y="0"/>
            <a:ext cx="0" cy="0"/>
          </xdr:xfrm>
          <a:graphic>
            <a:graphicData uri="http://schemas.microsoft.com/office/drawing/2010/slicer">
              <sle:slicer xmlns:sle="http://schemas.microsoft.com/office/drawing/2010/slicer" name="Occupation 2"/>
            </a:graphicData>
          </a:graphic>
        </xdr:graphicFrame>
      </mc:Choice>
      <mc:Fallback xmlns="">
        <xdr:sp macro="" textlink="">
          <xdr:nvSpPr>
            <xdr:cNvPr id="0" name=""/>
            <xdr:cNvSpPr>
              <a:spLocks noTextEdit="1"/>
            </xdr:cNvSpPr>
          </xdr:nvSpPr>
          <xdr:spPr>
            <a:xfrm>
              <a:off x="19050" y="4832351"/>
              <a:ext cx="16256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EEP" refreshedDate="46116.890680208337" createdVersion="8" refreshedVersion="8" minRefreshableVersion="3" recordCount="1000" xr:uid="{C3FE1368-2623-4A6F-8FD1-C66DB1BCA5B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22862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6C6E85-57A0-435D-8B74-06E0B8C100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9"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2">
    <format dxfId="2">
      <pivotArea type="all" dataOnly="0" outline="0" fieldPosition="0"/>
    </format>
    <format dxfId="1">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12" series="1">
      <pivotArea type="data" outline="0" fieldPosition="0">
        <references count="2">
          <reference field="4294967294" count="1" selected="0">
            <x v="0"/>
          </reference>
          <reference field="13" count="1" selected="0">
            <x v="0"/>
          </reference>
        </references>
      </pivotArea>
    </chartFormat>
    <chartFormat chart="8"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E45AE6-1BB9-4987-BF59-4A1008D1A4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items count="6">
        <item h="1" x="1"/>
        <item h="1" x="4"/>
        <item h="1" x="3"/>
        <item x="2"/>
        <item h="1" x="0"/>
        <item t="default"/>
      </items>
    </pivotField>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6">
      <pivotArea outline="0" collapsedLevelsAreSubtotals="1" fieldPosition="0"/>
    </format>
    <format dxfId="0">
      <pivotArea type="all" dataOnly="0" outline="0" fieldPosition="0"/>
    </format>
  </format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0" format="13" series="1">
      <pivotArea type="data" outline="0" fieldPosition="0">
        <references count="2">
          <reference field="4294967294" count="1" selected="0">
            <x v="0"/>
          </reference>
          <reference field="13" count="1" selected="0">
            <x v="0"/>
          </reference>
        </references>
      </pivotArea>
    </chartFormat>
    <chartFormat chart="10" format="14"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B47302-6CE4-4424-BE40-887F19FED2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2:D82"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9">
    <i>
      <x/>
    </i>
    <i>
      <x v="1"/>
    </i>
    <i>
      <x v="2"/>
    </i>
    <i>
      <x v="3"/>
    </i>
    <i>
      <x v="5"/>
    </i>
    <i>
      <x v="6"/>
    </i>
    <i>
      <x v="20"/>
    </i>
    <i>
      <x v="24"/>
    </i>
    <i>
      <x v="25"/>
    </i>
    <i>
      <x v="26"/>
    </i>
    <i>
      <x v="27"/>
    </i>
    <i>
      <x v="28"/>
    </i>
    <i>
      <x v="29"/>
    </i>
    <i>
      <x v="32"/>
    </i>
    <i>
      <x v="33"/>
    </i>
    <i>
      <x v="35"/>
    </i>
    <i>
      <x v="37"/>
    </i>
    <i>
      <x v="50"/>
    </i>
    <i t="grand">
      <x/>
    </i>
  </rowItems>
  <colFields count="1">
    <field x="13"/>
  </colFields>
  <colItems count="3">
    <i>
      <x/>
    </i>
    <i>
      <x v="1"/>
    </i>
    <i t="grand">
      <x/>
    </i>
  </colItems>
  <dataFields count="1">
    <dataField name="Count of Purchased Bike" fld="13" subtotal="count" baseField="0" baseItem="0"/>
  </dataFields>
  <formats count="1">
    <format dxfId="5">
      <pivotArea type="all" dataOnly="0"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2" format="12" series="1">
      <pivotArea type="data" outline="0" fieldPosition="0">
        <references count="2">
          <reference field="4294967294" count="1" selected="0">
            <x v="0"/>
          </reference>
          <reference field="13" count="1" selected="0">
            <x v="0"/>
          </reference>
        </references>
      </pivotArea>
    </chartFormat>
    <chartFormat chart="12"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9E2211-4B9D-4F94-B891-9B76EDD0FB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formats count="1">
    <format dxfId="4">
      <pivotArea type="all" dataOnly="0" outline="0" fieldPosition="0"/>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6940F03-5204-4947-9FB2-98AEB0A25468}" sourceName="Marital Status">
  <pivotTables>
    <pivotTable tabId="3" name="PivotTable1"/>
    <pivotTable tabId="3" name="PivotTable2"/>
    <pivotTable tabId="3" name="PivotTable3"/>
    <pivotTable tabId="3" name="PivotTable4"/>
  </pivotTables>
  <data>
    <tabular pivotCacheId="12286204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1995BE6-CDAE-4963-9EA9-6E625FA7C1B8}" sourceName="Education">
  <pivotTables>
    <pivotTable tabId="3" name="PivotTable1"/>
    <pivotTable tabId="3" name="PivotTable2"/>
    <pivotTable tabId="3" name="PivotTable3"/>
    <pivotTable tabId="3" name="PivotTable4"/>
  </pivotTables>
  <data>
    <tabular pivotCacheId="122862046">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2F4DE4-0E99-43AC-A92B-17B00EC02668}" sourceName="Region">
  <pivotTables>
    <pivotTable tabId="3" name="PivotTable1"/>
    <pivotTable tabId="3" name="PivotTable2"/>
    <pivotTable tabId="3" name="PivotTable3"/>
    <pivotTable tabId="3" name="PivotTable4"/>
  </pivotTables>
  <data>
    <tabular pivotCacheId="122862046">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7020BB6-1092-4484-B211-FC3E8F3CE2EC}" sourceName="Occupation">
  <pivotTables>
    <pivotTable tabId="3" name="PivotTable1"/>
  </pivotTables>
  <data>
    <tabular pivotCacheId="122862046">
      <items count="5">
        <i x="1"/>
        <i x="3"/>
        <i x="2" s="1"/>
        <i x="0"/>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3" xr10:uid="{8089C1A8-6BCD-4086-B8E6-684A6127AC89}" cache="Slicer_Marital_Status" caption="Marital Status" rowHeight="241300"/>
  <slicer name="Education 2" xr10:uid="{DA045501-1C28-40E8-A2BA-7E82479B3CF7}" cache="Slicer_Education" caption="Education" rowHeight="241300"/>
  <slicer name="Region 2" xr10:uid="{504354E6-7B41-4CC0-B6B2-662881C3EB50}" cache="Slicer_Region" caption="Region" rowHeight="241300"/>
  <slicer name="Occupation 2" xr10:uid="{57A5C9D3-42DC-455C-A58A-7039025712F0}" cache="Slicer_Occupation" caption="Occup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8" sqref="M1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D5787-261A-427F-A1EC-65BA93FD5751}">
  <dimension ref="A1:N1001"/>
  <sheetViews>
    <sheetView topLeftCell="E1" workbookViewId="0">
      <selection activeCell="P18" sqref="P18"/>
    </sheetView>
  </sheetViews>
  <sheetFormatPr defaultColWidth="11.90625" defaultRowHeight="14.5" x14ac:dyDescent="0.35"/>
  <cols>
    <col min="2" max="2" width="32.1796875" customWidth="1"/>
    <col min="4" max="4" width="11.90625" style="1"/>
    <col min="6" max="6" width="22.81640625" customWidth="1"/>
    <col min="7" max="7" width="28.1796875" customWidth="1"/>
    <col min="10" max="10" width="21.36328125" customWidth="1"/>
    <col min="12" max="12" width="11.90625" customWidth="1"/>
    <col min="13" max="13" width="28.26953125" customWidth="1"/>
    <col min="14" max="14" width="15.453125" customWidth="1"/>
  </cols>
  <sheetData>
    <row r="1" spans="1:14" x14ac:dyDescent="0.35">
      <c r="A1" t="s">
        <v>0</v>
      </c>
      <c r="B1" t="s">
        <v>1</v>
      </c>
      <c r="C1" t="s">
        <v>2</v>
      </c>
      <c r="D1" s="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13</v>
      </c>
      <c r="G2" t="s">
        <v>14</v>
      </c>
      <c r="H2" t="s">
        <v>15</v>
      </c>
      <c r="I2">
        <v>0</v>
      </c>
      <c r="J2" t="s">
        <v>16</v>
      </c>
      <c r="K2" t="s">
        <v>17</v>
      </c>
      <c r="L2">
        <v>42</v>
      </c>
      <c r="M2" t="str">
        <f>IF(L2&gt;54,"Old 55+",IF(L2&gt;=31,"Middle age 31-54",IF(L2&lt;31,"Adolescent 0-30","Invalid")))</f>
        <v>Middle age 31-54</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5">
      <c r="A4">
        <v>14177</v>
      </c>
      <c r="B4" t="s">
        <v>36</v>
      </c>
      <c r="C4" t="s">
        <v>39</v>
      </c>
      <c r="D4" s="1">
        <v>80000</v>
      </c>
      <c r="E4">
        <v>5</v>
      </c>
      <c r="F4" t="s">
        <v>19</v>
      </c>
      <c r="G4" t="s">
        <v>21</v>
      </c>
      <c r="H4" t="s">
        <v>18</v>
      </c>
      <c r="I4">
        <v>2</v>
      </c>
      <c r="J4" t="s">
        <v>22</v>
      </c>
      <c r="K4" t="s">
        <v>17</v>
      </c>
      <c r="L4">
        <v>60</v>
      </c>
      <c r="M4" t="str">
        <f t="shared" si="0"/>
        <v>Old 55+</v>
      </c>
      <c r="N4" t="s">
        <v>18</v>
      </c>
    </row>
    <row r="5" spans="1:14" x14ac:dyDescent="0.35">
      <c r="A5">
        <v>24381</v>
      </c>
      <c r="B5" t="s">
        <v>37</v>
      </c>
      <c r="C5" t="s">
        <v>39</v>
      </c>
      <c r="D5" s="1">
        <v>70000</v>
      </c>
      <c r="E5">
        <v>0</v>
      </c>
      <c r="F5" t="s">
        <v>13</v>
      </c>
      <c r="G5" t="s">
        <v>21</v>
      </c>
      <c r="H5" t="s">
        <v>15</v>
      </c>
      <c r="I5">
        <v>1</v>
      </c>
      <c r="J5" t="s">
        <v>23</v>
      </c>
      <c r="K5" t="s">
        <v>24</v>
      </c>
      <c r="L5">
        <v>41</v>
      </c>
      <c r="M5" t="str">
        <f t="shared" si="0"/>
        <v>Middle age 31-54</v>
      </c>
      <c r="N5" t="s">
        <v>15</v>
      </c>
    </row>
    <row r="6" spans="1:14" x14ac:dyDescent="0.35">
      <c r="A6">
        <v>25597</v>
      </c>
      <c r="B6" t="s">
        <v>37</v>
      </c>
      <c r="C6" t="s">
        <v>39</v>
      </c>
      <c r="D6" s="1">
        <v>30000</v>
      </c>
      <c r="E6">
        <v>0</v>
      </c>
      <c r="F6" t="s">
        <v>13</v>
      </c>
      <c r="G6" t="s">
        <v>20</v>
      </c>
      <c r="H6" t="s">
        <v>18</v>
      </c>
      <c r="I6">
        <v>0</v>
      </c>
      <c r="J6" t="s">
        <v>16</v>
      </c>
      <c r="K6" t="s">
        <v>17</v>
      </c>
      <c r="L6">
        <v>36</v>
      </c>
      <c r="M6" t="str">
        <f t="shared" si="0"/>
        <v>Middle age 31-54</v>
      </c>
      <c r="N6" t="s">
        <v>15</v>
      </c>
    </row>
    <row r="7" spans="1:14" x14ac:dyDescent="0.35">
      <c r="A7">
        <v>13507</v>
      </c>
      <c r="B7" t="s">
        <v>36</v>
      </c>
      <c r="C7" t="s">
        <v>38</v>
      </c>
      <c r="D7" s="1">
        <v>10000</v>
      </c>
      <c r="E7">
        <v>2</v>
      </c>
      <c r="F7" t="s">
        <v>19</v>
      </c>
      <c r="G7" t="s">
        <v>25</v>
      </c>
      <c r="H7" t="s">
        <v>15</v>
      </c>
      <c r="I7">
        <v>0</v>
      </c>
      <c r="J7" t="s">
        <v>26</v>
      </c>
      <c r="K7" t="s">
        <v>17</v>
      </c>
      <c r="L7">
        <v>50</v>
      </c>
      <c r="M7" t="str">
        <f t="shared" si="0"/>
        <v>Middle age 31-54</v>
      </c>
      <c r="N7" t="s">
        <v>18</v>
      </c>
    </row>
    <row r="8" spans="1:14" x14ac:dyDescent="0.35">
      <c r="A8">
        <v>27974</v>
      </c>
      <c r="B8" t="s">
        <v>37</v>
      </c>
      <c r="C8" t="s">
        <v>39</v>
      </c>
      <c r="D8" s="1">
        <v>160000</v>
      </c>
      <c r="E8">
        <v>2</v>
      </c>
      <c r="F8" t="s">
        <v>27</v>
      </c>
      <c r="G8" t="s">
        <v>28</v>
      </c>
      <c r="H8" t="s">
        <v>15</v>
      </c>
      <c r="I8">
        <v>4</v>
      </c>
      <c r="J8" t="s">
        <v>16</v>
      </c>
      <c r="K8" t="s">
        <v>24</v>
      </c>
      <c r="L8">
        <v>33</v>
      </c>
      <c r="M8" t="str">
        <f t="shared" si="0"/>
        <v>Middle age 31-54</v>
      </c>
      <c r="N8" t="s">
        <v>15</v>
      </c>
    </row>
    <row r="9" spans="1:14" x14ac:dyDescent="0.35">
      <c r="A9">
        <v>19364</v>
      </c>
      <c r="B9" t="s">
        <v>36</v>
      </c>
      <c r="C9" t="s">
        <v>39</v>
      </c>
      <c r="D9" s="1">
        <v>40000</v>
      </c>
      <c r="E9">
        <v>1</v>
      </c>
      <c r="F9" t="s">
        <v>13</v>
      </c>
      <c r="G9" t="s">
        <v>14</v>
      </c>
      <c r="H9" t="s">
        <v>15</v>
      </c>
      <c r="I9">
        <v>0</v>
      </c>
      <c r="J9" t="s">
        <v>16</v>
      </c>
      <c r="K9" t="s">
        <v>17</v>
      </c>
      <c r="L9">
        <v>43</v>
      </c>
      <c r="M9" t="str">
        <f t="shared" si="0"/>
        <v>Middle age 31-54</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 55+</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 31-54</v>
      </c>
      <c r="N11" t="s">
        <v>15</v>
      </c>
    </row>
    <row r="12" spans="1:14" x14ac:dyDescent="0.35">
      <c r="A12">
        <v>22173</v>
      </c>
      <c r="B12" t="s">
        <v>36</v>
      </c>
      <c r="C12" t="s">
        <v>38</v>
      </c>
      <c r="D12" s="1">
        <v>30000</v>
      </c>
      <c r="E12">
        <v>3</v>
      </c>
      <c r="F12" t="s">
        <v>27</v>
      </c>
      <c r="G12" t="s">
        <v>14</v>
      </c>
      <c r="H12" t="s">
        <v>18</v>
      </c>
      <c r="I12">
        <v>2</v>
      </c>
      <c r="J12" t="s">
        <v>26</v>
      </c>
      <c r="K12" t="s">
        <v>24</v>
      </c>
      <c r="L12">
        <v>54</v>
      </c>
      <c r="M12" t="str">
        <f t="shared" si="0"/>
        <v>Middle age 31-54</v>
      </c>
      <c r="N12" t="s">
        <v>15</v>
      </c>
    </row>
    <row r="13" spans="1:14" x14ac:dyDescent="0.35">
      <c r="A13">
        <v>12697</v>
      </c>
      <c r="B13" t="s">
        <v>37</v>
      </c>
      <c r="C13" t="s">
        <v>38</v>
      </c>
      <c r="D13" s="1">
        <v>90000</v>
      </c>
      <c r="E13">
        <v>0</v>
      </c>
      <c r="F13" t="s">
        <v>13</v>
      </c>
      <c r="G13" t="s">
        <v>21</v>
      </c>
      <c r="H13" t="s">
        <v>18</v>
      </c>
      <c r="I13">
        <v>4</v>
      </c>
      <c r="J13" t="s">
        <v>46</v>
      </c>
      <c r="K13" t="s">
        <v>24</v>
      </c>
      <c r="L13">
        <v>36</v>
      </c>
      <c r="M13" t="str">
        <f t="shared" si="0"/>
        <v>Middle age 31-54</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 55+</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 31-54</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 31-54</v>
      </c>
      <c r="N16" t="s">
        <v>15</v>
      </c>
    </row>
    <row r="17" spans="1:14" x14ac:dyDescent="0.35">
      <c r="A17">
        <v>20870</v>
      </c>
      <c r="B17" t="s">
        <v>37</v>
      </c>
      <c r="C17" t="s">
        <v>38</v>
      </c>
      <c r="D17" s="1">
        <v>10000</v>
      </c>
      <c r="E17">
        <v>2</v>
      </c>
      <c r="F17" t="s">
        <v>27</v>
      </c>
      <c r="G17" t="s">
        <v>25</v>
      </c>
      <c r="H17" t="s">
        <v>15</v>
      </c>
      <c r="I17">
        <v>1</v>
      </c>
      <c r="J17" t="s">
        <v>16</v>
      </c>
      <c r="K17" t="s">
        <v>17</v>
      </c>
      <c r="L17">
        <v>38</v>
      </c>
      <c r="M17" t="str">
        <f t="shared" si="0"/>
        <v>Middle age 31-54</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 55+</v>
      </c>
      <c r="N18" t="s">
        <v>15</v>
      </c>
    </row>
    <row r="19" spans="1:14" x14ac:dyDescent="0.35">
      <c r="A19">
        <v>12610</v>
      </c>
      <c r="B19" t="s">
        <v>36</v>
      </c>
      <c r="C19" t="s">
        <v>38</v>
      </c>
      <c r="D19" s="1">
        <v>30000</v>
      </c>
      <c r="E19">
        <v>1</v>
      </c>
      <c r="F19" t="s">
        <v>13</v>
      </c>
      <c r="G19" t="s">
        <v>20</v>
      </c>
      <c r="H19" t="s">
        <v>15</v>
      </c>
      <c r="I19">
        <v>0</v>
      </c>
      <c r="J19" t="s">
        <v>16</v>
      </c>
      <c r="K19" t="s">
        <v>17</v>
      </c>
      <c r="L19">
        <v>47</v>
      </c>
      <c r="M19" t="str">
        <f t="shared" si="0"/>
        <v>Middle age 31-54</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 31-54</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 55+</v>
      </c>
      <c r="N21" t="s">
        <v>15</v>
      </c>
    </row>
    <row r="22" spans="1:14" x14ac:dyDescent="0.35">
      <c r="A22">
        <v>25598</v>
      </c>
      <c r="B22" t="s">
        <v>36</v>
      </c>
      <c r="C22" t="s">
        <v>38</v>
      </c>
      <c r="D22" s="1">
        <v>40000</v>
      </c>
      <c r="E22">
        <v>0</v>
      </c>
      <c r="F22" t="s">
        <v>31</v>
      </c>
      <c r="G22" t="s">
        <v>20</v>
      </c>
      <c r="H22" t="s">
        <v>15</v>
      </c>
      <c r="I22">
        <v>0</v>
      </c>
      <c r="J22" t="s">
        <v>16</v>
      </c>
      <c r="K22" t="s">
        <v>17</v>
      </c>
      <c r="L22">
        <v>36</v>
      </c>
      <c r="M22" t="str">
        <f t="shared" si="0"/>
        <v>Middle age 31-54</v>
      </c>
      <c r="N22" t="s">
        <v>15</v>
      </c>
    </row>
    <row r="23" spans="1:14" x14ac:dyDescent="0.35">
      <c r="A23">
        <v>21564</v>
      </c>
      <c r="B23" t="s">
        <v>37</v>
      </c>
      <c r="C23" t="s">
        <v>38</v>
      </c>
      <c r="D23" s="1">
        <v>80000</v>
      </c>
      <c r="E23">
        <v>0</v>
      </c>
      <c r="F23" t="s">
        <v>13</v>
      </c>
      <c r="G23" t="s">
        <v>21</v>
      </c>
      <c r="H23" t="s">
        <v>15</v>
      </c>
      <c r="I23">
        <v>4</v>
      </c>
      <c r="J23" t="s">
        <v>46</v>
      </c>
      <c r="K23" t="s">
        <v>24</v>
      </c>
      <c r="L23">
        <v>35</v>
      </c>
      <c r="M23" t="str">
        <f t="shared" si="0"/>
        <v>Middle age 31-54</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 31-54</v>
      </c>
      <c r="N24" t="s">
        <v>15</v>
      </c>
    </row>
    <row r="25" spans="1:14" x14ac:dyDescent="0.35">
      <c r="A25">
        <v>26412</v>
      </c>
      <c r="B25" t="s">
        <v>36</v>
      </c>
      <c r="C25" t="s">
        <v>38</v>
      </c>
      <c r="D25" s="1">
        <v>80000</v>
      </c>
      <c r="E25">
        <v>5</v>
      </c>
      <c r="F25" t="s">
        <v>27</v>
      </c>
      <c r="G25" t="s">
        <v>28</v>
      </c>
      <c r="H25" t="s">
        <v>18</v>
      </c>
      <c r="I25">
        <v>3</v>
      </c>
      <c r="J25" t="s">
        <v>23</v>
      </c>
      <c r="K25" t="s">
        <v>17</v>
      </c>
      <c r="L25">
        <v>56</v>
      </c>
      <c r="M25" t="str">
        <f t="shared" si="0"/>
        <v>Old 55+</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 31-54</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 55+</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Adolescent 0-30</v>
      </c>
      <c r="N28" t="s">
        <v>15</v>
      </c>
    </row>
    <row r="29" spans="1:14" x14ac:dyDescent="0.35">
      <c r="A29">
        <v>18283</v>
      </c>
      <c r="B29" t="s">
        <v>37</v>
      </c>
      <c r="C29" t="s">
        <v>38</v>
      </c>
      <c r="D29" s="1">
        <v>100000</v>
      </c>
      <c r="E29">
        <v>0</v>
      </c>
      <c r="F29" t="s">
        <v>13</v>
      </c>
      <c r="G29" t="s">
        <v>21</v>
      </c>
      <c r="H29" t="s">
        <v>18</v>
      </c>
      <c r="I29">
        <v>1</v>
      </c>
      <c r="J29" t="s">
        <v>23</v>
      </c>
      <c r="K29" t="s">
        <v>24</v>
      </c>
      <c r="L29">
        <v>40</v>
      </c>
      <c r="M29" t="str">
        <f t="shared" si="0"/>
        <v>Middle age 31-54</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 31-54</v>
      </c>
      <c r="N30" t="s">
        <v>18</v>
      </c>
    </row>
    <row r="31" spans="1:14" x14ac:dyDescent="0.35">
      <c r="A31">
        <v>16466</v>
      </c>
      <c r="B31" t="s">
        <v>37</v>
      </c>
      <c r="C31" t="s">
        <v>38</v>
      </c>
      <c r="D31" s="1">
        <v>20000</v>
      </c>
      <c r="E31">
        <v>0</v>
      </c>
      <c r="F31" t="s">
        <v>29</v>
      </c>
      <c r="G31" t="s">
        <v>25</v>
      </c>
      <c r="H31" t="s">
        <v>18</v>
      </c>
      <c r="I31">
        <v>2</v>
      </c>
      <c r="J31" t="s">
        <v>16</v>
      </c>
      <c r="K31" t="s">
        <v>17</v>
      </c>
      <c r="L31">
        <v>32</v>
      </c>
      <c r="M31" t="str">
        <f t="shared" si="0"/>
        <v>Middle age 31-54</v>
      </c>
      <c r="N31" t="s">
        <v>15</v>
      </c>
    </row>
    <row r="32" spans="1:14" x14ac:dyDescent="0.35">
      <c r="A32">
        <v>19273</v>
      </c>
      <c r="B32" t="s">
        <v>36</v>
      </c>
      <c r="C32" t="s">
        <v>38</v>
      </c>
      <c r="D32" s="1">
        <v>20000</v>
      </c>
      <c r="E32">
        <v>2</v>
      </c>
      <c r="F32" t="s">
        <v>19</v>
      </c>
      <c r="G32" t="s">
        <v>25</v>
      </c>
      <c r="H32" t="s">
        <v>15</v>
      </c>
      <c r="I32">
        <v>0</v>
      </c>
      <c r="J32" t="s">
        <v>16</v>
      </c>
      <c r="K32" t="s">
        <v>17</v>
      </c>
      <c r="L32">
        <v>63</v>
      </c>
      <c r="M32" t="str">
        <f t="shared" si="0"/>
        <v>Old 55+</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Adolescent 0-30</v>
      </c>
      <c r="N33" t="s">
        <v>15</v>
      </c>
    </row>
    <row r="34" spans="1:14" x14ac:dyDescent="0.35">
      <c r="A34">
        <v>20942</v>
      </c>
      <c r="B34" t="s">
        <v>37</v>
      </c>
      <c r="C34" t="s">
        <v>38</v>
      </c>
      <c r="D34" s="1">
        <v>20000</v>
      </c>
      <c r="E34">
        <v>0</v>
      </c>
      <c r="F34" t="s">
        <v>27</v>
      </c>
      <c r="G34" t="s">
        <v>25</v>
      </c>
      <c r="H34" t="s">
        <v>18</v>
      </c>
      <c r="I34">
        <v>1</v>
      </c>
      <c r="J34" t="s">
        <v>23</v>
      </c>
      <c r="K34" t="s">
        <v>17</v>
      </c>
      <c r="L34">
        <v>31</v>
      </c>
      <c r="M34" t="str">
        <f t="shared" si="0"/>
        <v>Middle age 31-54</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 31-54</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 55+</v>
      </c>
      <c r="N36" t="s">
        <v>15</v>
      </c>
    </row>
    <row r="37" spans="1:14" x14ac:dyDescent="0.35">
      <c r="A37">
        <v>28380</v>
      </c>
      <c r="B37" t="s">
        <v>37</v>
      </c>
      <c r="C37" t="s">
        <v>38</v>
      </c>
      <c r="D37" s="1">
        <v>10000</v>
      </c>
      <c r="E37">
        <v>5</v>
      </c>
      <c r="F37" t="s">
        <v>29</v>
      </c>
      <c r="G37" t="s">
        <v>25</v>
      </c>
      <c r="H37" t="s">
        <v>18</v>
      </c>
      <c r="I37">
        <v>2</v>
      </c>
      <c r="J37" t="s">
        <v>16</v>
      </c>
      <c r="K37" t="s">
        <v>17</v>
      </c>
      <c r="L37">
        <v>41</v>
      </c>
      <c r="M37" t="str">
        <f t="shared" si="0"/>
        <v>Middle age 31-54</v>
      </c>
      <c r="N37" t="s">
        <v>18</v>
      </c>
    </row>
    <row r="38" spans="1:14" x14ac:dyDescent="0.35">
      <c r="A38">
        <v>17891</v>
      </c>
      <c r="B38" t="s">
        <v>36</v>
      </c>
      <c r="C38" t="s">
        <v>38</v>
      </c>
      <c r="D38" s="1">
        <v>10000</v>
      </c>
      <c r="E38">
        <v>2</v>
      </c>
      <c r="F38" t="s">
        <v>19</v>
      </c>
      <c r="G38" t="s">
        <v>25</v>
      </c>
      <c r="H38" t="s">
        <v>15</v>
      </c>
      <c r="I38">
        <v>1</v>
      </c>
      <c r="J38" t="s">
        <v>16</v>
      </c>
      <c r="K38" t="s">
        <v>17</v>
      </c>
      <c r="L38">
        <v>50</v>
      </c>
      <c r="M38" t="str">
        <f t="shared" si="0"/>
        <v>Middle age 31-54</v>
      </c>
      <c r="N38" t="s">
        <v>15</v>
      </c>
    </row>
    <row r="39" spans="1:14" x14ac:dyDescent="0.35">
      <c r="A39">
        <v>27832</v>
      </c>
      <c r="B39" t="s">
        <v>37</v>
      </c>
      <c r="C39" t="s">
        <v>38</v>
      </c>
      <c r="D39" s="1">
        <v>30000</v>
      </c>
      <c r="E39">
        <v>0</v>
      </c>
      <c r="F39" t="s">
        <v>19</v>
      </c>
      <c r="G39" t="s">
        <v>20</v>
      </c>
      <c r="H39" t="s">
        <v>18</v>
      </c>
      <c r="I39">
        <v>1</v>
      </c>
      <c r="J39" t="s">
        <v>22</v>
      </c>
      <c r="K39" t="s">
        <v>17</v>
      </c>
      <c r="L39">
        <v>30</v>
      </c>
      <c r="M39" t="str">
        <f t="shared" si="0"/>
        <v>Adolescent 0-30</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Adolescent 0-30</v>
      </c>
      <c r="N40" t="s">
        <v>18</v>
      </c>
    </row>
    <row r="41" spans="1:14" x14ac:dyDescent="0.35">
      <c r="A41">
        <v>16259</v>
      </c>
      <c r="B41" t="s">
        <v>37</v>
      </c>
      <c r="C41" t="s">
        <v>38</v>
      </c>
      <c r="D41" s="1">
        <v>10000</v>
      </c>
      <c r="E41">
        <v>4</v>
      </c>
      <c r="F41" t="s">
        <v>29</v>
      </c>
      <c r="G41" t="s">
        <v>25</v>
      </c>
      <c r="H41" t="s">
        <v>15</v>
      </c>
      <c r="I41">
        <v>2</v>
      </c>
      <c r="J41" t="s">
        <v>16</v>
      </c>
      <c r="K41" t="s">
        <v>17</v>
      </c>
      <c r="L41">
        <v>40</v>
      </c>
      <c r="M41" t="str">
        <f t="shared" si="0"/>
        <v>Middle age 31-54</v>
      </c>
      <c r="N41" t="s">
        <v>15</v>
      </c>
    </row>
    <row r="42" spans="1:14" x14ac:dyDescent="0.35">
      <c r="A42">
        <v>27803</v>
      </c>
      <c r="B42" t="s">
        <v>37</v>
      </c>
      <c r="C42" t="s">
        <v>38</v>
      </c>
      <c r="D42" s="1">
        <v>30000</v>
      </c>
      <c r="E42">
        <v>2</v>
      </c>
      <c r="F42" t="s">
        <v>19</v>
      </c>
      <c r="G42" t="s">
        <v>20</v>
      </c>
      <c r="H42" t="s">
        <v>18</v>
      </c>
      <c r="I42">
        <v>0</v>
      </c>
      <c r="J42" t="s">
        <v>16</v>
      </c>
      <c r="K42" t="s">
        <v>17</v>
      </c>
      <c r="L42">
        <v>43</v>
      </c>
      <c r="M42" t="str">
        <f t="shared" si="0"/>
        <v>Middle age 31-54</v>
      </c>
      <c r="N42" t="s">
        <v>18</v>
      </c>
    </row>
    <row r="43" spans="1:14" x14ac:dyDescent="0.35">
      <c r="A43">
        <v>14347</v>
      </c>
      <c r="B43" t="s">
        <v>37</v>
      </c>
      <c r="C43" t="s">
        <v>38</v>
      </c>
      <c r="D43" s="1">
        <v>40000</v>
      </c>
      <c r="E43">
        <v>2</v>
      </c>
      <c r="F43" t="s">
        <v>13</v>
      </c>
      <c r="G43" t="s">
        <v>28</v>
      </c>
      <c r="H43" t="s">
        <v>15</v>
      </c>
      <c r="I43">
        <v>2</v>
      </c>
      <c r="J43" t="s">
        <v>23</v>
      </c>
      <c r="K43" t="s">
        <v>24</v>
      </c>
      <c r="L43">
        <v>65</v>
      </c>
      <c r="M43" t="str">
        <f t="shared" si="0"/>
        <v>Old 55+</v>
      </c>
      <c r="N43" t="s">
        <v>15</v>
      </c>
    </row>
    <row r="44" spans="1:14" x14ac:dyDescent="0.35">
      <c r="A44">
        <v>17703</v>
      </c>
      <c r="B44" t="s">
        <v>36</v>
      </c>
      <c r="C44" t="s">
        <v>38</v>
      </c>
      <c r="D44" s="1">
        <v>10000</v>
      </c>
      <c r="E44">
        <v>1</v>
      </c>
      <c r="F44" t="s">
        <v>31</v>
      </c>
      <c r="G44" t="s">
        <v>25</v>
      </c>
      <c r="H44" t="s">
        <v>15</v>
      </c>
      <c r="I44">
        <v>0</v>
      </c>
      <c r="J44" t="s">
        <v>16</v>
      </c>
      <c r="K44" t="s">
        <v>17</v>
      </c>
      <c r="L44">
        <v>40</v>
      </c>
      <c r="M44" t="str">
        <f t="shared" si="0"/>
        <v>Middle age 31-54</v>
      </c>
      <c r="N44" t="s">
        <v>18</v>
      </c>
    </row>
    <row r="45" spans="1:14" x14ac:dyDescent="0.35">
      <c r="A45">
        <v>17185</v>
      </c>
      <c r="B45" t="s">
        <v>36</v>
      </c>
      <c r="C45" t="s">
        <v>38</v>
      </c>
      <c r="D45" s="1">
        <v>170000</v>
      </c>
      <c r="E45">
        <v>4</v>
      </c>
      <c r="F45" t="s">
        <v>19</v>
      </c>
      <c r="G45" t="s">
        <v>21</v>
      </c>
      <c r="H45" t="s">
        <v>18</v>
      </c>
      <c r="I45">
        <v>3</v>
      </c>
      <c r="J45" t="s">
        <v>23</v>
      </c>
      <c r="K45" t="s">
        <v>17</v>
      </c>
      <c r="L45">
        <v>48</v>
      </c>
      <c r="M45" t="str">
        <f t="shared" si="0"/>
        <v>Middle age 31-54</v>
      </c>
      <c r="N45" t="s">
        <v>15</v>
      </c>
    </row>
    <row r="46" spans="1:14" x14ac:dyDescent="0.35">
      <c r="A46">
        <v>29380</v>
      </c>
      <c r="B46" t="s">
        <v>36</v>
      </c>
      <c r="C46" t="s">
        <v>38</v>
      </c>
      <c r="D46" s="1">
        <v>20000</v>
      </c>
      <c r="E46">
        <v>3</v>
      </c>
      <c r="F46" t="s">
        <v>27</v>
      </c>
      <c r="G46" t="s">
        <v>25</v>
      </c>
      <c r="H46" t="s">
        <v>15</v>
      </c>
      <c r="I46">
        <v>0</v>
      </c>
      <c r="J46" t="s">
        <v>16</v>
      </c>
      <c r="K46" t="s">
        <v>17</v>
      </c>
      <c r="L46">
        <v>41</v>
      </c>
      <c r="M46" t="str">
        <f t="shared" si="0"/>
        <v>Middle age 31-54</v>
      </c>
      <c r="N46" t="s">
        <v>15</v>
      </c>
    </row>
    <row r="47" spans="1:14" x14ac:dyDescent="0.35">
      <c r="A47">
        <v>23986</v>
      </c>
      <c r="B47" t="s">
        <v>36</v>
      </c>
      <c r="C47" t="s">
        <v>38</v>
      </c>
      <c r="D47" s="1">
        <v>20000</v>
      </c>
      <c r="E47">
        <v>1</v>
      </c>
      <c r="F47" t="s">
        <v>13</v>
      </c>
      <c r="G47" t="s">
        <v>20</v>
      </c>
      <c r="H47" t="s">
        <v>15</v>
      </c>
      <c r="I47">
        <v>0</v>
      </c>
      <c r="J47" t="s">
        <v>16</v>
      </c>
      <c r="K47" t="s">
        <v>17</v>
      </c>
      <c r="L47">
        <v>66</v>
      </c>
      <c r="M47" t="str">
        <f t="shared" si="0"/>
        <v>Old 55+</v>
      </c>
      <c r="N47" t="s">
        <v>15</v>
      </c>
    </row>
    <row r="48" spans="1:14" x14ac:dyDescent="0.35">
      <c r="A48">
        <v>24466</v>
      </c>
      <c r="B48" t="s">
        <v>36</v>
      </c>
      <c r="C48" t="s">
        <v>38</v>
      </c>
      <c r="D48" s="1">
        <v>60000</v>
      </c>
      <c r="E48">
        <v>1</v>
      </c>
      <c r="F48" t="s">
        <v>19</v>
      </c>
      <c r="G48" t="s">
        <v>14</v>
      </c>
      <c r="H48" t="s">
        <v>15</v>
      </c>
      <c r="I48">
        <v>1</v>
      </c>
      <c r="J48" t="s">
        <v>23</v>
      </c>
      <c r="K48" t="s">
        <v>24</v>
      </c>
      <c r="L48">
        <v>46</v>
      </c>
      <c r="M48" t="str">
        <f t="shared" si="0"/>
        <v>Middle age 31-54</v>
      </c>
      <c r="N48" t="s">
        <v>15</v>
      </c>
    </row>
    <row r="49" spans="1:14" x14ac:dyDescent="0.35">
      <c r="A49">
        <v>29097</v>
      </c>
      <c r="B49" t="s">
        <v>37</v>
      </c>
      <c r="C49" t="s">
        <v>38</v>
      </c>
      <c r="D49" s="1">
        <v>40000</v>
      </c>
      <c r="E49">
        <v>2</v>
      </c>
      <c r="F49" t="s">
        <v>19</v>
      </c>
      <c r="G49" t="s">
        <v>14</v>
      </c>
      <c r="H49" t="s">
        <v>15</v>
      </c>
      <c r="I49">
        <v>2</v>
      </c>
      <c r="J49" t="s">
        <v>23</v>
      </c>
      <c r="K49" t="s">
        <v>24</v>
      </c>
      <c r="L49">
        <v>52</v>
      </c>
      <c r="M49" t="str">
        <f t="shared" si="0"/>
        <v>Middle age 31-54</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 31-54</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 31-54</v>
      </c>
      <c r="N51" t="s">
        <v>15</v>
      </c>
    </row>
    <row r="52" spans="1:14" x14ac:dyDescent="0.35">
      <c r="A52">
        <v>13826</v>
      </c>
      <c r="B52" t="s">
        <v>37</v>
      </c>
      <c r="C52" t="s">
        <v>38</v>
      </c>
      <c r="D52" s="1">
        <v>30000</v>
      </c>
      <c r="E52">
        <v>0</v>
      </c>
      <c r="F52" t="s">
        <v>19</v>
      </c>
      <c r="G52" t="s">
        <v>20</v>
      </c>
      <c r="H52" t="s">
        <v>18</v>
      </c>
      <c r="I52">
        <v>1</v>
      </c>
      <c r="J52" t="s">
        <v>16</v>
      </c>
      <c r="K52" t="s">
        <v>17</v>
      </c>
      <c r="L52">
        <v>28</v>
      </c>
      <c r="M52" t="str">
        <f t="shared" si="0"/>
        <v>Adolescent 0-30</v>
      </c>
      <c r="N52" t="s">
        <v>18</v>
      </c>
    </row>
    <row r="53" spans="1:14" x14ac:dyDescent="0.35">
      <c r="A53">
        <v>20619</v>
      </c>
      <c r="B53" t="s">
        <v>37</v>
      </c>
      <c r="C53" t="s">
        <v>39</v>
      </c>
      <c r="D53" s="1">
        <v>80000</v>
      </c>
      <c r="E53">
        <v>0</v>
      </c>
      <c r="F53" t="s">
        <v>13</v>
      </c>
      <c r="G53" t="s">
        <v>21</v>
      </c>
      <c r="H53" t="s">
        <v>18</v>
      </c>
      <c r="I53">
        <v>4</v>
      </c>
      <c r="J53" t="s">
        <v>46</v>
      </c>
      <c r="K53" t="s">
        <v>24</v>
      </c>
      <c r="L53">
        <v>35</v>
      </c>
      <c r="M53" t="str">
        <f t="shared" si="0"/>
        <v>Middle age 31-54</v>
      </c>
      <c r="N53" t="s">
        <v>18</v>
      </c>
    </row>
    <row r="54" spans="1:14" x14ac:dyDescent="0.35">
      <c r="A54">
        <v>12558</v>
      </c>
      <c r="B54" t="s">
        <v>36</v>
      </c>
      <c r="C54" t="s">
        <v>38</v>
      </c>
      <c r="D54" s="1">
        <v>20000</v>
      </c>
      <c r="E54">
        <v>1</v>
      </c>
      <c r="F54" t="s">
        <v>13</v>
      </c>
      <c r="G54" t="s">
        <v>20</v>
      </c>
      <c r="H54" t="s">
        <v>15</v>
      </c>
      <c r="I54">
        <v>0</v>
      </c>
      <c r="J54" t="s">
        <v>16</v>
      </c>
      <c r="K54" t="s">
        <v>17</v>
      </c>
      <c r="L54">
        <v>65</v>
      </c>
      <c r="M54" t="str">
        <f t="shared" si="0"/>
        <v>Old 55+</v>
      </c>
      <c r="N54" t="s">
        <v>18</v>
      </c>
    </row>
    <row r="55" spans="1:14" x14ac:dyDescent="0.35">
      <c r="A55">
        <v>24871</v>
      </c>
      <c r="B55" t="s">
        <v>37</v>
      </c>
      <c r="C55" t="s">
        <v>38</v>
      </c>
      <c r="D55" s="1">
        <v>90000</v>
      </c>
      <c r="E55">
        <v>4</v>
      </c>
      <c r="F55" t="s">
        <v>27</v>
      </c>
      <c r="G55" t="s">
        <v>28</v>
      </c>
      <c r="H55" t="s">
        <v>18</v>
      </c>
      <c r="I55">
        <v>3</v>
      </c>
      <c r="J55" t="s">
        <v>23</v>
      </c>
      <c r="K55" t="s">
        <v>17</v>
      </c>
      <c r="L55">
        <v>56</v>
      </c>
      <c r="M55" t="str">
        <f t="shared" si="0"/>
        <v>Old 55+</v>
      </c>
      <c r="N55" t="s">
        <v>18</v>
      </c>
    </row>
    <row r="56" spans="1:14" x14ac:dyDescent="0.35">
      <c r="A56">
        <v>17319</v>
      </c>
      <c r="B56" t="s">
        <v>37</v>
      </c>
      <c r="C56" t="s">
        <v>38</v>
      </c>
      <c r="D56" s="1">
        <v>70000</v>
      </c>
      <c r="E56">
        <v>0</v>
      </c>
      <c r="F56" t="s">
        <v>13</v>
      </c>
      <c r="G56" t="s">
        <v>21</v>
      </c>
      <c r="H56" t="s">
        <v>18</v>
      </c>
      <c r="I56">
        <v>1</v>
      </c>
      <c r="J56" t="s">
        <v>23</v>
      </c>
      <c r="K56" t="s">
        <v>24</v>
      </c>
      <c r="L56">
        <v>42</v>
      </c>
      <c r="M56" t="str">
        <f t="shared" si="0"/>
        <v>Middle age 31-54</v>
      </c>
      <c r="N56" t="s">
        <v>18</v>
      </c>
    </row>
    <row r="57" spans="1:14" x14ac:dyDescent="0.35">
      <c r="A57">
        <v>28906</v>
      </c>
      <c r="B57" t="s">
        <v>36</v>
      </c>
      <c r="C57" t="s">
        <v>39</v>
      </c>
      <c r="D57" s="1">
        <v>80000</v>
      </c>
      <c r="E57">
        <v>4</v>
      </c>
      <c r="F57" t="s">
        <v>27</v>
      </c>
      <c r="G57" t="s">
        <v>21</v>
      </c>
      <c r="H57" t="s">
        <v>15</v>
      </c>
      <c r="I57">
        <v>2</v>
      </c>
      <c r="J57" t="s">
        <v>46</v>
      </c>
      <c r="K57" t="s">
        <v>17</v>
      </c>
      <c r="L57">
        <v>54</v>
      </c>
      <c r="M57" t="str">
        <f t="shared" si="0"/>
        <v>Middle age 31-54</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 31-54</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 55+</v>
      </c>
      <c r="N59" t="s">
        <v>15</v>
      </c>
    </row>
    <row r="60" spans="1:14" x14ac:dyDescent="0.35">
      <c r="A60">
        <v>25502</v>
      </c>
      <c r="B60" t="s">
        <v>36</v>
      </c>
      <c r="C60" t="s">
        <v>38</v>
      </c>
      <c r="D60" s="1">
        <v>40000</v>
      </c>
      <c r="E60">
        <v>1</v>
      </c>
      <c r="F60" t="s">
        <v>13</v>
      </c>
      <c r="G60" t="s">
        <v>14</v>
      </c>
      <c r="H60" t="s">
        <v>15</v>
      </c>
      <c r="I60">
        <v>0</v>
      </c>
      <c r="J60" t="s">
        <v>16</v>
      </c>
      <c r="K60" t="s">
        <v>17</v>
      </c>
      <c r="L60">
        <v>43</v>
      </c>
      <c r="M60" t="str">
        <f t="shared" si="0"/>
        <v>Middle age 31-54</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 31-54</v>
      </c>
      <c r="N61" t="s">
        <v>15</v>
      </c>
    </row>
    <row r="62" spans="1:14" x14ac:dyDescent="0.35">
      <c r="A62">
        <v>24185</v>
      </c>
      <c r="B62" t="s">
        <v>37</v>
      </c>
      <c r="C62" t="s">
        <v>38</v>
      </c>
      <c r="D62" s="1">
        <v>10000</v>
      </c>
      <c r="E62">
        <v>1</v>
      </c>
      <c r="F62" t="s">
        <v>27</v>
      </c>
      <c r="G62" t="s">
        <v>25</v>
      </c>
      <c r="H62" t="s">
        <v>18</v>
      </c>
      <c r="I62">
        <v>1</v>
      </c>
      <c r="J62" t="s">
        <v>26</v>
      </c>
      <c r="K62" t="s">
        <v>17</v>
      </c>
      <c r="L62">
        <v>45</v>
      </c>
      <c r="M62" t="str">
        <f t="shared" si="0"/>
        <v>Middle age 31-54</v>
      </c>
      <c r="N62" t="s">
        <v>18</v>
      </c>
    </row>
    <row r="63" spans="1:14" x14ac:dyDescent="0.35">
      <c r="A63">
        <v>19291</v>
      </c>
      <c r="B63" t="s">
        <v>37</v>
      </c>
      <c r="C63" t="s">
        <v>38</v>
      </c>
      <c r="D63" s="1">
        <v>10000</v>
      </c>
      <c r="E63">
        <v>2</v>
      </c>
      <c r="F63" t="s">
        <v>27</v>
      </c>
      <c r="G63" t="s">
        <v>25</v>
      </c>
      <c r="H63" t="s">
        <v>15</v>
      </c>
      <c r="I63">
        <v>0</v>
      </c>
      <c r="J63" t="s">
        <v>16</v>
      </c>
      <c r="K63" t="s">
        <v>17</v>
      </c>
      <c r="L63">
        <v>35</v>
      </c>
      <c r="M63" t="str">
        <f t="shared" si="0"/>
        <v>Middle age 31-54</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 31-54</v>
      </c>
      <c r="N64" t="s">
        <v>15</v>
      </c>
    </row>
    <row r="65" spans="1:14" x14ac:dyDescent="0.35">
      <c r="A65">
        <v>16185</v>
      </c>
      <c r="B65" t="s">
        <v>37</v>
      </c>
      <c r="C65" t="s">
        <v>39</v>
      </c>
      <c r="D65" s="1">
        <v>60000</v>
      </c>
      <c r="E65">
        <v>4</v>
      </c>
      <c r="F65" t="s">
        <v>13</v>
      </c>
      <c r="G65" t="s">
        <v>21</v>
      </c>
      <c r="H65" t="s">
        <v>15</v>
      </c>
      <c r="I65">
        <v>3</v>
      </c>
      <c r="J65" t="s">
        <v>46</v>
      </c>
      <c r="K65" t="s">
        <v>24</v>
      </c>
      <c r="L65">
        <v>41</v>
      </c>
      <c r="M65" t="str">
        <f t="shared" si="0"/>
        <v>Middle age 31-54</v>
      </c>
      <c r="N65" t="s">
        <v>18</v>
      </c>
    </row>
    <row r="66" spans="1:14" x14ac:dyDescent="0.35">
      <c r="A66">
        <v>14927</v>
      </c>
      <c r="B66" t="s">
        <v>36</v>
      </c>
      <c r="C66" t="s">
        <v>38</v>
      </c>
      <c r="D66" s="1">
        <v>30000</v>
      </c>
      <c r="E66">
        <v>1</v>
      </c>
      <c r="F66" t="s">
        <v>13</v>
      </c>
      <c r="G66" t="s">
        <v>20</v>
      </c>
      <c r="H66" t="s">
        <v>15</v>
      </c>
      <c r="I66">
        <v>0</v>
      </c>
      <c r="J66" t="s">
        <v>16</v>
      </c>
      <c r="K66" t="s">
        <v>17</v>
      </c>
      <c r="L66">
        <v>37</v>
      </c>
      <c r="M66" t="str">
        <f t="shared" si="0"/>
        <v>Middle age 31-54</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5">
      <c r="A68">
        <v>29355</v>
      </c>
      <c r="B68" t="s">
        <v>36</v>
      </c>
      <c r="C68" t="s">
        <v>38</v>
      </c>
      <c r="D68" s="1">
        <v>40000</v>
      </c>
      <c r="E68">
        <v>0</v>
      </c>
      <c r="F68" t="s">
        <v>31</v>
      </c>
      <c r="G68" t="s">
        <v>20</v>
      </c>
      <c r="H68" t="s">
        <v>15</v>
      </c>
      <c r="I68">
        <v>0</v>
      </c>
      <c r="J68" t="s">
        <v>16</v>
      </c>
      <c r="K68" t="s">
        <v>17</v>
      </c>
      <c r="L68">
        <v>37</v>
      </c>
      <c r="M68" t="str">
        <f t="shared" si="1"/>
        <v>Middle age 31-54</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 31-54</v>
      </c>
      <c r="N69" t="s">
        <v>15</v>
      </c>
    </row>
    <row r="70" spans="1:14" x14ac:dyDescent="0.35">
      <c r="A70">
        <v>14813</v>
      </c>
      <c r="B70" t="s">
        <v>37</v>
      </c>
      <c r="C70" t="s">
        <v>38</v>
      </c>
      <c r="D70" s="1">
        <v>20000</v>
      </c>
      <c r="E70">
        <v>4</v>
      </c>
      <c r="F70" t="s">
        <v>27</v>
      </c>
      <c r="G70" t="s">
        <v>25</v>
      </c>
      <c r="H70" t="s">
        <v>15</v>
      </c>
      <c r="I70">
        <v>1</v>
      </c>
      <c r="J70" t="s">
        <v>16</v>
      </c>
      <c r="K70" t="s">
        <v>17</v>
      </c>
      <c r="L70">
        <v>43</v>
      </c>
      <c r="M70" t="str">
        <f t="shared" si="1"/>
        <v>Middle age 31-54</v>
      </c>
      <c r="N70" t="s">
        <v>15</v>
      </c>
    </row>
    <row r="71" spans="1:14" x14ac:dyDescent="0.35">
      <c r="A71">
        <v>16438</v>
      </c>
      <c r="B71" t="s">
        <v>36</v>
      </c>
      <c r="C71" t="s">
        <v>38</v>
      </c>
      <c r="D71" s="1">
        <v>10000</v>
      </c>
      <c r="E71">
        <v>0</v>
      </c>
      <c r="F71" t="s">
        <v>29</v>
      </c>
      <c r="G71" t="s">
        <v>25</v>
      </c>
      <c r="H71" t="s">
        <v>18</v>
      </c>
      <c r="I71">
        <v>2</v>
      </c>
      <c r="J71" t="s">
        <v>16</v>
      </c>
      <c r="K71" t="s">
        <v>17</v>
      </c>
      <c r="L71">
        <v>30</v>
      </c>
      <c r="M71" t="str">
        <f t="shared" si="1"/>
        <v>Adolescent 0-30</v>
      </c>
      <c r="N71" t="s">
        <v>18</v>
      </c>
    </row>
    <row r="72" spans="1:14" x14ac:dyDescent="0.35">
      <c r="A72">
        <v>14238</v>
      </c>
      <c r="B72" t="s">
        <v>36</v>
      </c>
      <c r="C72" t="s">
        <v>39</v>
      </c>
      <c r="D72" s="1">
        <v>120000</v>
      </c>
      <c r="E72">
        <v>0</v>
      </c>
      <c r="F72" t="s">
        <v>29</v>
      </c>
      <c r="G72" t="s">
        <v>21</v>
      </c>
      <c r="H72" t="s">
        <v>15</v>
      </c>
      <c r="I72">
        <v>4</v>
      </c>
      <c r="J72" t="s">
        <v>46</v>
      </c>
      <c r="K72" t="s">
        <v>24</v>
      </c>
      <c r="L72">
        <v>36</v>
      </c>
      <c r="M72" t="str">
        <f t="shared" si="1"/>
        <v>Middle age 31-54</v>
      </c>
      <c r="N72" t="s">
        <v>15</v>
      </c>
    </row>
    <row r="73" spans="1:14" x14ac:dyDescent="0.35">
      <c r="A73">
        <v>16200</v>
      </c>
      <c r="B73" t="s">
        <v>37</v>
      </c>
      <c r="C73" t="s">
        <v>38</v>
      </c>
      <c r="D73" s="1">
        <v>10000</v>
      </c>
      <c r="E73">
        <v>0</v>
      </c>
      <c r="F73" t="s">
        <v>29</v>
      </c>
      <c r="G73" t="s">
        <v>25</v>
      </c>
      <c r="H73" t="s">
        <v>18</v>
      </c>
      <c r="I73">
        <v>2</v>
      </c>
      <c r="J73" t="s">
        <v>16</v>
      </c>
      <c r="K73" t="s">
        <v>17</v>
      </c>
      <c r="L73">
        <v>35</v>
      </c>
      <c r="M73" t="str">
        <f t="shared" si="1"/>
        <v>Middle age 31-54</v>
      </c>
      <c r="N73" t="s">
        <v>18</v>
      </c>
    </row>
    <row r="74" spans="1:14" x14ac:dyDescent="0.35">
      <c r="A74">
        <v>24857</v>
      </c>
      <c r="B74" t="s">
        <v>36</v>
      </c>
      <c r="C74" t="s">
        <v>38</v>
      </c>
      <c r="D74" s="1">
        <v>130000</v>
      </c>
      <c r="E74">
        <v>3</v>
      </c>
      <c r="F74" t="s">
        <v>27</v>
      </c>
      <c r="G74" t="s">
        <v>21</v>
      </c>
      <c r="H74" t="s">
        <v>15</v>
      </c>
      <c r="I74">
        <v>4</v>
      </c>
      <c r="J74" t="s">
        <v>16</v>
      </c>
      <c r="K74" t="s">
        <v>17</v>
      </c>
      <c r="L74">
        <v>52</v>
      </c>
      <c r="M74" t="str">
        <f t="shared" si="1"/>
        <v>Middle age 31-54</v>
      </c>
      <c r="N74" t="s">
        <v>18</v>
      </c>
    </row>
    <row r="75" spans="1:14" x14ac:dyDescent="0.35">
      <c r="A75">
        <v>26956</v>
      </c>
      <c r="B75" t="s">
        <v>37</v>
      </c>
      <c r="C75" t="s">
        <v>38</v>
      </c>
      <c r="D75" s="1">
        <v>20000</v>
      </c>
      <c r="E75">
        <v>0</v>
      </c>
      <c r="F75" t="s">
        <v>19</v>
      </c>
      <c r="G75" t="s">
        <v>25</v>
      </c>
      <c r="H75" t="s">
        <v>18</v>
      </c>
      <c r="I75">
        <v>1</v>
      </c>
      <c r="J75" t="s">
        <v>22</v>
      </c>
      <c r="K75" t="s">
        <v>17</v>
      </c>
      <c r="L75">
        <v>36</v>
      </c>
      <c r="M75" t="str">
        <f t="shared" si="1"/>
        <v>Middle age 31-54</v>
      </c>
      <c r="N75" t="s">
        <v>15</v>
      </c>
    </row>
    <row r="76" spans="1:14" x14ac:dyDescent="0.35">
      <c r="A76">
        <v>14517</v>
      </c>
      <c r="B76" t="s">
        <v>36</v>
      </c>
      <c r="C76" t="s">
        <v>38</v>
      </c>
      <c r="D76" s="1">
        <v>20000</v>
      </c>
      <c r="E76">
        <v>3</v>
      </c>
      <c r="F76" t="s">
        <v>27</v>
      </c>
      <c r="G76" t="s">
        <v>14</v>
      </c>
      <c r="H76" t="s">
        <v>18</v>
      </c>
      <c r="I76">
        <v>2</v>
      </c>
      <c r="J76" t="s">
        <v>26</v>
      </c>
      <c r="K76" t="s">
        <v>24</v>
      </c>
      <c r="L76">
        <v>62</v>
      </c>
      <c r="M76" t="str">
        <f t="shared" si="1"/>
        <v>Old 55+</v>
      </c>
      <c r="N76" t="s">
        <v>18</v>
      </c>
    </row>
    <row r="77" spans="1:14" x14ac:dyDescent="0.35">
      <c r="A77">
        <v>12678</v>
      </c>
      <c r="B77" t="s">
        <v>37</v>
      </c>
      <c r="C77" t="s">
        <v>38</v>
      </c>
      <c r="D77" s="1">
        <v>130000</v>
      </c>
      <c r="E77">
        <v>4</v>
      </c>
      <c r="F77" t="s">
        <v>27</v>
      </c>
      <c r="G77" t="s">
        <v>28</v>
      </c>
      <c r="H77" t="s">
        <v>15</v>
      </c>
      <c r="I77">
        <v>4</v>
      </c>
      <c r="J77" t="s">
        <v>16</v>
      </c>
      <c r="K77" t="s">
        <v>24</v>
      </c>
      <c r="L77">
        <v>31</v>
      </c>
      <c r="M77" t="str">
        <f t="shared" si="1"/>
        <v>Middle age 31-54</v>
      </c>
      <c r="N77" t="s">
        <v>18</v>
      </c>
    </row>
    <row r="78" spans="1:14" x14ac:dyDescent="0.35">
      <c r="A78">
        <v>16188</v>
      </c>
      <c r="B78" t="s">
        <v>37</v>
      </c>
      <c r="C78" t="s">
        <v>38</v>
      </c>
      <c r="D78" s="1">
        <v>20000</v>
      </c>
      <c r="E78">
        <v>0</v>
      </c>
      <c r="F78" t="s">
        <v>29</v>
      </c>
      <c r="G78" t="s">
        <v>25</v>
      </c>
      <c r="H78" t="s">
        <v>18</v>
      </c>
      <c r="I78">
        <v>2</v>
      </c>
      <c r="J78" t="s">
        <v>26</v>
      </c>
      <c r="K78" t="s">
        <v>17</v>
      </c>
      <c r="L78">
        <v>26</v>
      </c>
      <c r="M78" t="str">
        <f t="shared" si="1"/>
        <v>Adolescent 0-30</v>
      </c>
      <c r="N78" t="s">
        <v>18</v>
      </c>
    </row>
    <row r="79" spans="1:14" x14ac:dyDescent="0.35">
      <c r="A79">
        <v>27969</v>
      </c>
      <c r="B79" t="s">
        <v>36</v>
      </c>
      <c r="C79" t="s">
        <v>39</v>
      </c>
      <c r="D79" s="1">
        <v>80000</v>
      </c>
      <c r="E79">
        <v>0</v>
      </c>
      <c r="F79" t="s">
        <v>13</v>
      </c>
      <c r="G79" t="s">
        <v>21</v>
      </c>
      <c r="H79" t="s">
        <v>15</v>
      </c>
      <c r="I79">
        <v>2</v>
      </c>
      <c r="J79" t="s">
        <v>46</v>
      </c>
      <c r="K79" t="s">
        <v>24</v>
      </c>
      <c r="L79">
        <v>29</v>
      </c>
      <c r="M79" t="str">
        <f t="shared" si="1"/>
        <v>Adolescent 0-30</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 31-54</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 55+</v>
      </c>
      <c r="N81" t="s">
        <v>15</v>
      </c>
    </row>
    <row r="82" spans="1:14" x14ac:dyDescent="0.35">
      <c r="A82">
        <v>20828</v>
      </c>
      <c r="B82" t="s">
        <v>36</v>
      </c>
      <c r="C82" t="s">
        <v>38</v>
      </c>
      <c r="D82" s="1">
        <v>30000</v>
      </c>
      <c r="E82">
        <v>4</v>
      </c>
      <c r="F82" t="s">
        <v>31</v>
      </c>
      <c r="G82" t="s">
        <v>20</v>
      </c>
      <c r="H82" t="s">
        <v>15</v>
      </c>
      <c r="I82">
        <v>0</v>
      </c>
      <c r="J82" t="s">
        <v>16</v>
      </c>
      <c r="K82" t="s">
        <v>17</v>
      </c>
      <c r="L82">
        <v>45</v>
      </c>
      <c r="M82" t="str">
        <f t="shared" si="1"/>
        <v>Middle age 31-54</v>
      </c>
      <c r="N82" t="s">
        <v>15</v>
      </c>
    </row>
    <row r="83" spans="1:14" x14ac:dyDescent="0.35">
      <c r="A83">
        <v>19461</v>
      </c>
      <c r="B83" t="s">
        <v>37</v>
      </c>
      <c r="C83" t="s">
        <v>38</v>
      </c>
      <c r="D83" s="1">
        <v>10000</v>
      </c>
      <c r="E83">
        <v>4</v>
      </c>
      <c r="F83" t="s">
        <v>29</v>
      </c>
      <c r="G83" t="s">
        <v>25</v>
      </c>
      <c r="H83" t="s">
        <v>15</v>
      </c>
      <c r="I83">
        <v>2</v>
      </c>
      <c r="J83" t="s">
        <v>16</v>
      </c>
      <c r="K83" t="s">
        <v>17</v>
      </c>
      <c r="L83">
        <v>40</v>
      </c>
      <c r="M83" t="str">
        <f t="shared" si="1"/>
        <v>Middle age 31-54</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 31-54</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Adolescent 0-30</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 31-54</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Adolescent 0-30</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 31-54</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 31-54</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Adolescent 0-30</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 31-54</v>
      </c>
      <c r="N91" t="s">
        <v>15</v>
      </c>
    </row>
    <row r="92" spans="1:14" x14ac:dyDescent="0.35">
      <c r="A92">
        <v>26886</v>
      </c>
      <c r="B92" t="s">
        <v>37</v>
      </c>
      <c r="C92" t="s">
        <v>38</v>
      </c>
      <c r="D92" s="1">
        <v>30000</v>
      </c>
      <c r="E92">
        <v>0</v>
      </c>
      <c r="F92" t="s">
        <v>19</v>
      </c>
      <c r="G92" t="s">
        <v>20</v>
      </c>
      <c r="H92" t="s">
        <v>18</v>
      </c>
      <c r="I92">
        <v>1</v>
      </c>
      <c r="J92" t="s">
        <v>16</v>
      </c>
      <c r="K92" t="s">
        <v>17</v>
      </c>
      <c r="L92">
        <v>29</v>
      </c>
      <c r="M92" t="str">
        <f t="shared" si="1"/>
        <v>Adolescent 0-30</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Adolescent 0-30</v>
      </c>
      <c r="N93" t="s">
        <v>15</v>
      </c>
    </row>
    <row r="94" spans="1:14" x14ac:dyDescent="0.35">
      <c r="A94">
        <v>19562</v>
      </c>
      <c r="B94" t="s">
        <v>37</v>
      </c>
      <c r="C94" t="s">
        <v>38</v>
      </c>
      <c r="D94" s="1">
        <v>60000</v>
      </c>
      <c r="E94">
        <v>2</v>
      </c>
      <c r="F94" t="s">
        <v>13</v>
      </c>
      <c r="G94" t="s">
        <v>21</v>
      </c>
      <c r="H94" t="s">
        <v>15</v>
      </c>
      <c r="I94">
        <v>1</v>
      </c>
      <c r="J94" t="s">
        <v>22</v>
      </c>
      <c r="K94" t="s">
        <v>24</v>
      </c>
      <c r="L94">
        <v>37</v>
      </c>
      <c r="M94" t="str">
        <f t="shared" si="1"/>
        <v>Middle age 31-54</v>
      </c>
      <c r="N94" t="s">
        <v>15</v>
      </c>
    </row>
    <row r="95" spans="1:14" x14ac:dyDescent="0.35">
      <c r="A95">
        <v>15608</v>
      </c>
      <c r="B95" t="s">
        <v>37</v>
      </c>
      <c r="C95" t="s">
        <v>38</v>
      </c>
      <c r="D95" s="1">
        <v>30000</v>
      </c>
      <c r="E95">
        <v>0</v>
      </c>
      <c r="F95" t="s">
        <v>19</v>
      </c>
      <c r="G95" t="s">
        <v>20</v>
      </c>
      <c r="H95" t="s">
        <v>18</v>
      </c>
      <c r="I95">
        <v>1</v>
      </c>
      <c r="J95" t="s">
        <v>22</v>
      </c>
      <c r="K95" t="s">
        <v>17</v>
      </c>
      <c r="L95">
        <v>33</v>
      </c>
      <c r="M95" t="str">
        <f t="shared" si="1"/>
        <v>Middle age 31-54</v>
      </c>
      <c r="N95" t="s">
        <v>18</v>
      </c>
    </row>
    <row r="96" spans="1:14" x14ac:dyDescent="0.35">
      <c r="A96">
        <v>16487</v>
      </c>
      <c r="B96" t="s">
        <v>37</v>
      </c>
      <c r="C96" t="s">
        <v>38</v>
      </c>
      <c r="D96" s="1">
        <v>30000</v>
      </c>
      <c r="E96">
        <v>3</v>
      </c>
      <c r="F96" t="s">
        <v>27</v>
      </c>
      <c r="G96" t="s">
        <v>14</v>
      </c>
      <c r="H96" t="s">
        <v>15</v>
      </c>
      <c r="I96">
        <v>2</v>
      </c>
      <c r="J96" t="s">
        <v>23</v>
      </c>
      <c r="K96" t="s">
        <v>24</v>
      </c>
      <c r="L96">
        <v>55</v>
      </c>
      <c r="M96" t="str">
        <f t="shared" si="1"/>
        <v>Old 55+</v>
      </c>
      <c r="N96" t="s">
        <v>18</v>
      </c>
    </row>
    <row r="97" spans="1:14" x14ac:dyDescent="0.35">
      <c r="A97">
        <v>17197</v>
      </c>
      <c r="B97" t="s">
        <v>37</v>
      </c>
      <c r="C97" t="s">
        <v>38</v>
      </c>
      <c r="D97" s="1">
        <v>90000</v>
      </c>
      <c r="E97">
        <v>5</v>
      </c>
      <c r="F97" t="s">
        <v>19</v>
      </c>
      <c r="G97" t="s">
        <v>21</v>
      </c>
      <c r="H97" t="s">
        <v>15</v>
      </c>
      <c r="I97">
        <v>2</v>
      </c>
      <c r="J97" t="s">
        <v>46</v>
      </c>
      <c r="K97" t="s">
        <v>17</v>
      </c>
      <c r="L97">
        <v>62</v>
      </c>
      <c r="M97" t="str">
        <f t="shared" si="1"/>
        <v>Old 55+</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 31-54</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 31-54</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Adolescent 0-30</v>
      </c>
      <c r="N100" t="s">
        <v>15</v>
      </c>
    </row>
    <row r="101" spans="1:14" x14ac:dyDescent="0.35">
      <c r="A101">
        <v>26852</v>
      </c>
      <c r="B101" t="s">
        <v>36</v>
      </c>
      <c r="C101" t="s">
        <v>38</v>
      </c>
      <c r="D101" s="1">
        <v>20000</v>
      </c>
      <c r="E101">
        <v>3</v>
      </c>
      <c r="F101" t="s">
        <v>27</v>
      </c>
      <c r="G101" t="s">
        <v>25</v>
      </c>
      <c r="H101" t="s">
        <v>15</v>
      </c>
      <c r="I101">
        <v>2</v>
      </c>
      <c r="J101" t="s">
        <v>16</v>
      </c>
      <c r="K101" t="s">
        <v>17</v>
      </c>
      <c r="L101">
        <v>43</v>
      </c>
      <c r="M101" t="str">
        <f t="shared" si="1"/>
        <v>Middle age 31-54</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37</v>
      </c>
      <c r="C106" t="s">
        <v>38</v>
      </c>
      <c r="D106" s="1">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37</v>
      </c>
      <c r="C107" t="s">
        <v>38</v>
      </c>
      <c r="D107" s="1">
        <v>30000</v>
      </c>
      <c r="E107">
        <v>0</v>
      </c>
      <c r="F107" t="s">
        <v>19</v>
      </c>
      <c r="G107" t="s">
        <v>20</v>
      </c>
      <c r="H107" t="s">
        <v>18</v>
      </c>
      <c r="I107">
        <v>1</v>
      </c>
      <c r="J107" t="s">
        <v>22</v>
      </c>
      <c r="K107" t="s">
        <v>17</v>
      </c>
      <c r="L107">
        <v>30</v>
      </c>
      <c r="M107" t="str">
        <f t="shared" si="1"/>
        <v>Adolescent 0-30</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 31-54</v>
      </c>
      <c r="N108" t="s">
        <v>15</v>
      </c>
    </row>
    <row r="109" spans="1:14" x14ac:dyDescent="0.35">
      <c r="A109">
        <v>27494</v>
      </c>
      <c r="B109" t="s">
        <v>37</v>
      </c>
      <c r="C109" t="s">
        <v>38</v>
      </c>
      <c r="D109" s="1">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36</v>
      </c>
      <c r="C110" t="s">
        <v>38</v>
      </c>
      <c r="D110" s="1">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37</v>
      </c>
      <c r="C112" t="s">
        <v>38</v>
      </c>
      <c r="D112" s="1">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37</v>
      </c>
      <c r="C113" t="s">
        <v>38</v>
      </c>
      <c r="D113" s="1">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37</v>
      </c>
      <c r="C114" t="s">
        <v>38</v>
      </c>
      <c r="D114" s="1">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37</v>
      </c>
      <c r="C115" t="s">
        <v>38</v>
      </c>
      <c r="D115" s="1">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Adolescent 0-30</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Adolescent 0-30</v>
      </c>
      <c r="N117" t="s">
        <v>15</v>
      </c>
    </row>
    <row r="118" spans="1:14" x14ac:dyDescent="0.35">
      <c r="A118">
        <v>22496</v>
      </c>
      <c r="B118" t="s">
        <v>36</v>
      </c>
      <c r="C118" t="s">
        <v>38</v>
      </c>
      <c r="D118" s="1">
        <v>30000</v>
      </c>
      <c r="E118">
        <v>1</v>
      </c>
      <c r="F118" t="s">
        <v>13</v>
      </c>
      <c r="G118" t="s">
        <v>14</v>
      </c>
      <c r="H118" t="s">
        <v>15</v>
      </c>
      <c r="I118">
        <v>2</v>
      </c>
      <c r="J118" t="s">
        <v>16</v>
      </c>
      <c r="K118" t="s">
        <v>17</v>
      </c>
      <c r="L118">
        <v>42</v>
      </c>
      <c r="M118" t="str">
        <f t="shared" si="1"/>
        <v>Middle age 31-54</v>
      </c>
      <c r="N118" t="s">
        <v>18</v>
      </c>
    </row>
    <row r="119" spans="1:14" x14ac:dyDescent="0.35">
      <c r="A119">
        <v>24065</v>
      </c>
      <c r="B119" t="s">
        <v>37</v>
      </c>
      <c r="C119" t="s">
        <v>38</v>
      </c>
      <c r="D119" s="1">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 55+</v>
      </c>
      <c r="N120" t="s">
        <v>18</v>
      </c>
    </row>
    <row r="121" spans="1:14" x14ac:dyDescent="0.35">
      <c r="A121">
        <v>12871</v>
      </c>
      <c r="B121" t="s">
        <v>37</v>
      </c>
      <c r="C121" t="s">
        <v>38</v>
      </c>
      <c r="D121" s="1">
        <v>30000</v>
      </c>
      <c r="E121">
        <v>0</v>
      </c>
      <c r="F121" t="s">
        <v>19</v>
      </c>
      <c r="G121" t="s">
        <v>20</v>
      </c>
      <c r="H121" t="s">
        <v>18</v>
      </c>
      <c r="I121">
        <v>1</v>
      </c>
      <c r="J121" t="s">
        <v>22</v>
      </c>
      <c r="K121" t="s">
        <v>17</v>
      </c>
      <c r="L121">
        <v>29</v>
      </c>
      <c r="M121" t="str">
        <f t="shared" si="1"/>
        <v>Adolescent 0-30</v>
      </c>
      <c r="N121" t="s">
        <v>18</v>
      </c>
    </row>
    <row r="122" spans="1:14" x14ac:dyDescent="0.35">
      <c r="A122">
        <v>22988</v>
      </c>
      <c r="B122" t="s">
        <v>36</v>
      </c>
      <c r="C122" t="s">
        <v>38</v>
      </c>
      <c r="D122" s="1">
        <v>40000</v>
      </c>
      <c r="E122">
        <v>2</v>
      </c>
      <c r="F122" t="s">
        <v>13</v>
      </c>
      <c r="G122" t="s">
        <v>28</v>
      </c>
      <c r="H122" t="s">
        <v>15</v>
      </c>
      <c r="I122">
        <v>2</v>
      </c>
      <c r="J122" t="s">
        <v>23</v>
      </c>
      <c r="K122" t="s">
        <v>24</v>
      </c>
      <c r="L122">
        <v>66</v>
      </c>
      <c r="M122" t="str">
        <f t="shared" si="1"/>
        <v>Old 55+</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37</v>
      </c>
      <c r="C124" t="s">
        <v>38</v>
      </c>
      <c r="D124" s="1">
        <v>80000</v>
      </c>
      <c r="E124">
        <v>0</v>
      </c>
      <c r="F124" t="s">
        <v>13</v>
      </c>
      <c r="G124" t="s">
        <v>21</v>
      </c>
      <c r="H124" t="s">
        <v>18</v>
      </c>
      <c r="I124">
        <v>3</v>
      </c>
      <c r="J124" t="s">
        <v>46</v>
      </c>
      <c r="K124" t="s">
        <v>24</v>
      </c>
      <c r="L124">
        <v>31</v>
      </c>
      <c r="M124" t="str">
        <f t="shared" si="1"/>
        <v>Middle age 31-54</v>
      </c>
      <c r="N124" t="s">
        <v>18</v>
      </c>
    </row>
    <row r="125" spans="1:14" x14ac:dyDescent="0.35">
      <c r="A125">
        <v>23627</v>
      </c>
      <c r="B125" t="s">
        <v>37</v>
      </c>
      <c r="C125" t="s">
        <v>38</v>
      </c>
      <c r="D125" s="1">
        <v>100000</v>
      </c>
      <c r="E125">
        <v>3</v>
      </c>
      <c r="F125" t="s">
        <v>19</v>
      </c>
      <c r="G125" t="s">
        <v>28</v>
      </c>
      <c r="H125" t="s">
        <v>18</v>
      </c>
      <c r="I125">
        <v>4</v>
      </c>
      <c r="J125" t="s">
        <v>23</v>
      </c>
      <c r="K125" t="s">
        <v>17</v>
      </c>
      <c r="L125">
        <v>56</v>
      </c>
      <c r="M125" t="str">
        <f t="shared" si="1"/>
        <v>Old 55+</v>
      </c>
      <c r="N125" t="s">
        <v>18</v>
      </c>
    </row>
    <row r="126" spans="1:14" x14ac:dyDescent="0.35">
      <c r="A126">
        <v>27775</v>
      </c>
      <c r="B126" t="s">
        <v>37</v>
      </c>
      <c r="C126" t="s">
        <v>38</v>
      </c>
      <c r="D126" s="1">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Middle age 31-54</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 55+</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 55+</v>
      </c>
      <c r="N135" t="s">
        <v>15</v>
      </c>
    </row>
    <row r="136" spans="1:14" x14ac:dyDescent="0.35">
      <c r="A136">
        <v>21094</v>
      </c>
      <c r="B136" t="s">
        <v>37</v>
      </c>
      <c r="C136" t="s">
        <v>38</v>
      </c>
      <c r="D136" s="1">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37</v>
      </c>
      <c r="C138" t="s">
        <v>38</v>
      </c>
      <c r="D138" s="1">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36</v>
      </c>
      <c r="C140" t="s">
        <v>38</v>
      </c>
      <c r="D140" s="1">
        <v>20000</v>
      </c>
      <c r="E140">
        <v>2</v>
      </c>
      <c r="F140" t="s">
        <v>29</v>
      </c>
      <c r="G140" t="s">
        <v>20</v>
      </c>
      <c r="H140" t="s">
        <v>15</v>
      </c>
      <c r="I140">
        <v>2</v>
      </c>
      <c r="J140" t="s">
        <v>23</v>
      </c>
      <c r="K140" t="s">
        <v>24</v>
      </c>
      <c r="L140">
        <v>55</v>
      </c>
      <c r="M140" t="str">
        <f t="shared" si="2"/>
        <v>Old 55+</v>
      </c>
      <c r="N140" t="s">
        <v>15</v>
      </c>
    </row>
    <row r="141" spans="1:14" x14ac:dyDescent="0.35">
      <c r="A141">
        <v>26547</v>
      </c>
      <c r="B141" t="s">
        <v>37</v>
      </c>
      <c r="C141" t="s">
        <v>38</v>
      </c>
      <c r="D141" s="1">
        <v>30000</v>
      </c>
      <c r="E141">
        <v>2</v>
      </c>
      <c r="F141" t="s">
        <v>19</v>
      </c>
      <c r="G141" t="s">
        <v>20</v>
      </c>
      <c r="H141" t="s">
        <v>18</v>
      </c>
      <c r="I141">
        <v>2</v>
      </c>
      <c r="J141" t="s">
        <v>23</v>
      </c>
      <c r="K141" t="s">
        <v>24</v>
      </c>
      <c r="L141">
        <v>60</v>
      </c>
      <c r="M141" t="str">
        <f t="shared" si="2"/>
        <v>Old 55+</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37</v>
      </c>
      <c r="C143" t="s">
        <v>38</v>
      </c>
      <c r="D143" s="1">
        <v>10000</v>
      </c>
      <c r="E143">
        <v>0</v>
      </c>
      <c r="F143" t="s">
        <v>19</v>
      </c>
      <c r="G143" t="s">
        <v>25</v>
      </c>
      <c r="H143" t="s">
        <v>18</v>
      </c>
      <c r="I143">
        <v>1</v>
      </c>
      <c r="J143" t="s">
        <v>16</v>
      </c>
      <c r="K143" t="s">
        <v>24</v>
      </c>
      <c r="L143">
        <v>26</v>
      </c>
      <c r="M143" t="str">
        <f t="shared" si="2"/>
        <v>Adolescent 0-30</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 31-54</v>
      </c>
      <c r="N144" t="s">
        <v>15</v>
      </c>
    </row>
    <row r="145" spans="1:14" x14ac:dyDescent="0.35">
      <c r="A145">
        <v>16614</v>
      </c>
      <c r="B145" t="s">
        <v>36</v>
      </c>
      <c r="C145" t="s">
        <v>38</v>
      </c>
      <c r="D145" s="1">
        <v>80000</v>
      </c>
      <c r="E145">
        <v>0</v>
      </c>
      <c r="F145" t="s">
        <v>13</v>
      </c>
      <c r="G145" t="s">
        <v>21</v>
      </c>
      <c r="H145" t="s">
        <v>15</v>
      </c>
      <c r="I145">
        <v>3</v>
      </c>
      <c r="J145" t="s">
        <v>46</v>
      </c>
      <c r="K145" t="s">
        <v>24</v>
      </c>
      <c r="L145">
        <v>32</v>
      </c>
      <c r="M145" t="str">
        <f t="shared" si="2"/>
        <v>Middle age 31-54</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36</v>
      </c>
      <c r="C147" t="s">
        <v>38</v>
      </c>
      <c r="D147" s="1">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36</v>
      </c>
      <c r="C149" t="s">
        <v>38</v>
      </c>
      <c r="D149" s="1">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 55+</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Adolescent 0-30</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 31-54</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37</v>
      </c>
      <c r="C154" t="s">
        <v>38</v>
      </c>
      <c r="D154" s="1">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37</v>
      </c>
      <c r="C157" t="s">
        <v>38</v>
      </c>
      <c r="D157" s="1">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36</v>
      </c>
      <c r="C158" t="s">
        <v>38</v>
      </c>
      <c r="D158" s="1">
        <v>130000</v>
      </c>
      <c r="E158">
        <v>5</v>
      </c>
      <c r="F158" t="s">
        <v>19</v>
      </c>
      <c r="G158" t="s">
        <v>21</v>
      </c>
      <c r="H158" t="s">
        <v>15</v>
      </c>
      <c r="I158">
        <v>4</v>
      </c>
      <c r="J158" t="s">
        <v>16</v>
      </c>
      <c r="K158" t="s">
        <v>17</v>
      </c>
      <c r="L158">
        <v>59</v>
      </c>
      <c r="M158" t="str">
        <f t="shared" si="2"/>
        <v>Old 55+</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37</v>
      </c>
      <c r="C160" t="s">
        <v>38</v>
      </c>
      <c r="D160" s="1">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36</v>
      </c>
      <c r="C161" t="s">
        <v>38</v>
      </c>
      <c r="D161" s="1">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37</v>
      </c>
      <c r="C162" t="s">
        <v>38</v>
      </c>
      <c r="D162" s="1">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36</v>
      </c>
      <c r="C163" t="s">
        <v>38</v>
      </c>
      <c r="D163" s="1">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37</v>
      </c>
      <c r="C164" t="s">
        <v>38</v>
      </c>
      <c r="D164" s="1">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Adolescent 0-30</v>
      </c>
      <c r="N166" t="s">
        <v>15</v>
      </c>
    </row>
    <row r="167" spans="1:14" x14ac:dyDescent="0.35">
      <c r="A167">
        <v>15465</v>
      </c>
      <c r="B167" t="s">
        <v>36</v>
      </c>
      <c r="C167" t="s">
        <v>38</v>
      </c>
      <c r="D167" s="1">
        <v>10000</v>
      </c>
      <c r="E167">
        <v>0</v>
      </c>
      <c r="F167" t="s">
        <v>19</v>
      </c>
      <c r="G167" t="s">
        <v>25</v>
      </c>
      <c r="H167" t="s">
        <v>18</v>
      </c>
      <c r="I167">
        <v>1</v>
      </c>
      <c r="J167" t="s">
        <v>16</v>
      </c>
      <c r="K167" t="s">
        <v>24</v>
      </c>
      <c r="L167">
        <v>25</v>
      </c>
      <c r="M167" t="str">
        <f t="shared" si="2"/>
        <v>Adolescent 0-30</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 31-54</v>
      </c>
      <c r="N168" t="s">
        <v>15</v>
      </c>
    </row>
    <row r="169" spans="1:14" x14ac:dyDescent="0.35">
      <c r="A169">
        <v>14233</v>
      </c>
      <c r="B169" t="s">
        <v>37</v>
      </c>
      <c r="C169" t="s">
        <v>39</v>
      </c>
      <c r="D169" s="1">
        <v>100000</v>
      </c>
      <c r="E169">
        <v>0</v>
      </c>
      <c r="F169" t="s">
        <v>27</v>
      </c>
      <c r="G169" t="s">
        <v>28</v>
      </c>
      <c r="H169" t="s">
        <v>15</v>
      </c>
      <c r="I169">
        <v>3</v>
      </c>
      <c r="J169" t="s">
        <v>46</v>
      </c>
      <c r="K169" t="s">
        <v>24</v>
      </c>
      <c r="L169">
        <v>35</v>
      </c>
      <c r="M169" t="str">
        <f t="shared" si="2"/>
        <v>Middle age 31-54</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36</v>
      </c>
      <c r="C172" t="s">
        <v>38</v>
      </c>
      <c r="D172" s="1">
        <v>130000</v>
      </c>
      <c r="E172">
        <v>4</v>
      </c>
      <c r="F172" t="s">
        <v>19</v>
      </c>
      <c r="G172" t="s">
        <v>21</v>
      </c>
      <c r="H172" t="s">
        <v>15</v>
      </c>
      <c r="I172">
        <v>4</v>
      </c>
      <c r="J172" t="s">
        <v>23</v>
      </c>
      <c r="K172" t="s">
        <v>17</v>
      </c>
      <c r="L172">
        <v>61</v>
      </c>
      <c r="M172" t="str">
        <f t="shared" si="2"/>
        <v>Old 55+</v>
      </c>
      <c r="N172" t="s">
        <v>15</v>
      </c>
    </row>
    <row r="173" spans="1:14" x14ac:dyDescent="0.35">
      <c r="A173">
        <v>18144</v>
      </c>
      <c r="B173" t="s">
        <v>36</v>
      </c>
      <c r="C173" t="s">
        <v>38</v>
      </c>
      <c r="D173" s="1">
        <v>80000</v>
      </c>
      <c r="E173">
        <v>5</v>
      </c>
      <c r="F173" t="s">
        <v>13</v>
      </c>
      <c r="G173" t="s">
        <v>28</v>
      </c>
      <c r="H173" t="s">
        <v>15</v>
      </c>
      <c r="I173">
        <v>2</v>
      </c>
      <c r="J173" t="s">
        <v>22</v>
      </c>
      <c r="K173" t="s">
        <v>17</v>
      </c>
      <c r="L173">
        <v>61</v>
      </c>
      <c r="M173" t="str">
        <f t="shared" si="2"/>
        <v>Old 55+</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36</v>
      </c>
      <c r="C175" t="s">
        <v>38</v>
      </c>
      <c r="D175" s="1">
        <v>10000</v>
      </c>
      <c r="E175">
        <v>0</v>
      </c>
      <c r="F175" t="s">
        <v>19</v>
      </c>
      <c r="G175" t="s">
        <v>25</v>
      </c>
      <c r="H175" t="s">
        <v>15</v>
      </c>
      <c r="I175">
        <v>1</v>
      </c>
      <c r="J175" t="s">
        <v>22</v>
      </c>
      <c r="K175" t="s">
        <v>24</v>
      </c>
      <c r="L175">
        <v>27</v>
      </c>
      <c r="M175" t="str">
        <f t="shared" si="2"/>
        <v>Adolescent 0-30</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 31-54</v>
      </c>
      <c r="N176" t="s">
        <v>15</v>
      </c>
    </row>
    <row r="177" spans="1:14" x14ac:dyDescent="0.35">
      <c r="A177">
        <v>17504</v>
      </c>
      <c r="B177" t="s">
        <v>37</v>
      </c>
      <c r="C177" t="s">
        <v>38</v>
      </c>
      <c r="D177" s="1">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37</v>
      </c>
      <c r="C178" t="s">
        <v>38</v>
      </c>
      <c r="D178" s="1">
        <v>20000</v>
      </c>
      <c r="E178">
        <v>0</v>
      </c>
      <c r="F178" t="s">
        <v>19</v>
      </c>
      <c r="G178" t="s">
        <v>25</v>
      </c>
      <c r="H178" t="s">
        <v>15</v>
      </c>
      <c r="I178">
        <v>0</v>
      </c>
      <c r="J178" t="s">
        <v>16</v>
      </c>
      <c r="K178" t="s">
        <v>24</v>
      </c>
      <c r="L178">
        <v>29</v>
      </c>
      <c r="M178" t="str">
        <f t="shared" si="2"/>
        <v>Adolescent 0-30</v>
      </c>
      <c r="N178" t="s">
        <v>15</v>
      </c>
    </row>
    <row r="179" spans="1:14" x14ac:dyDescent="0.35">
      <c r="A179">
        <v>27304</v>
      </c>
      <c r="B179" t="s">
        <v>37</v>
      </c>
      <c r="C179" t="s">
        <v>38</v>
      </c>
      <c r="D179" s="1">
        <v>110000</v>
      </c>
      <c r="E179">
        <v>2</v>
      </c>
      <c r="F179" t="s">
        <v>19</v>
      </c>
      <c r="G179" t="s">
        <v>21</v>
      </c>
      <c r="H179" t="s">
        <v>18</v>
      </c>
      <c r="I179">
        <v>3</v>
      </c>
      <c r="J179" t="s">
        <v>23</v>
      </c>
      <c r="K179" t="s">
        <v>17</v>
      </c>
      <c r="L179">
        <v>48</v>
      </c>
      <c r="M179" t="str">
        <f t="shared" si="2"/>
        <v>Middle age 31-54</v>
      </c>
      <c r="N179" t="s">
        <v>18</v>
      </c>
    </row>
    <row r="180" spans="1:14" x14ac:dyDescent="0.35">
      <c r="A180">
        <v>14191</v>
      </c>
      <c r="B180" t="s">
        <v>36</v>
      </c>
      <c r="C180" t="s">
        <v>39</v>
      </c>
      <c r="D180" s="1">
        <v>160000</v>
      </c>
      <c r="E180">
        <v>4</v>
      </c>
      <c r="F180" t="s">
        <v>19</v>
      </c>
      <c r="G180" t="s">
        <v>21</v>
      </c>
      <c r="H180" t="s">
        <v>18</v>
      </c>
      <c r="I180">
        <v>2</v>
      </c>
      <c r="J180" t="s">
        <v>46</v>
      </c>
      <c r="K180" t="s">
        <v>17</v>
      </c>
      <c r="L180">
        <v>55</v>
      </c>
      <c r="M180" t="str">
        <f t="shared" si="2"/>
        <v>Old 55+</v>
      </c>
      <c r="N180" t="s">
        <v>15</v>
      </c>
    </row>
    <row r="181" spans="1:14" x14ac:dyDescent="0.35">
      <c r="A181">
        <v>12212</v>
      </c>
      <c r="B181" t="s">
        <v>36</v>
      </c>
      <c r="C181" t="s">
        <v>38</v>
      </c>
      <c r="D181" s="1">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36</v>
      </c>
      <c r="C183" t="s">
        <v>38</v>
      </c>
      <c r="D183" s="1">
        <v>30000</v>
      </c>
      <c r="E183">
        <v>3</v>
      </c>
      <c r="F183" t="s">
        <v>19</v>
      </c>
      <c r="G183" t="s">
        <v>20</v>
      </c>
      <c r="H183" t="s">
        <v>18</v>
      </c>
      <c r="I183">
        <v>2</v>
      </c>
      <c r="J183" t="s">
        <v>26</v>
      </c>
      <c r="K183" t="s">
        <v>24</v>
      </c>
      <c r="L183">
        <v>55</v>
      </c>
      <c r="M183" t="str">
        <f t="shared" si="2"/>
        <v>Old 55+</v>
      </c>
      <c r="N183" t="s">
        <v>15</v>
      </c>
    </row>
    <row r="184" spans="1:14" x14ac:dyDescent="0.35">
      <c r="A184">
        <v>19445</v>
      </c>
      <c r="B184" t="s">
        <v>36</v>
      </c>
      <c r="C184" t="s">
        <v>38</v>
      </c>
      <c r="D184" s="1">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 55+</v>
      </c>
      <c r="N185" t="s">
        <v>15</v>
      </c>
    </row>
    <row r="186" spans="1:14" x14ac:dyDescent="0.35">
      <c r="A186">
        <v>28918</v>
      </c>
      <c r="B186" t="s">
        <v>36</v>
      </c>
      <c r="C186" t="s">
        <v>38</v>
      </c>
      <c r="D186" s="1">
        <v>130000</v>
      </c>
      <c r="E186">
        <v>4</v>
      </c>
      <c r="F186" t="s">
        <v>27</v>
      </c>
      <c r="G186" t="s">
        <v>28</v>
      </c>
      <c r="H186" t="s">
        <v>18</v>
      </c>
      <c r="I186">
        <v>4</v>
      </c>
      <c r="J186" t="s">
        <v>46</v>
      </c>
      <c r="K186" t="s">
        <v>17</v>
      </c>
      <c r="L186">
        <v>58</v>
      </c>
      <c r="M186" t="str">
        <f t="shared" si="2"/>
        <v>Old 55+</v>
      </c>
      <c r="N186" t="s">
        <v>18</v>
      </c>
    </row>
    <row r="187" spans="1:14" x14ac:dyDescent="0.35">
      <c r="A187">
        <v>15799</v>
      </c>
      <c r="B187" t="s">
        <v>36</v>
      </c>
      <c r="C187" t="s">
        <v>38</v>
      </c>
      <c r="D187" s="1">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36</v>
      </c>
      <c r="C188" t="s">
        <v>38</v>
      </c>
      <c r="D188" s="1">
        <v>30000</v>
      </c>
      <c r="E188">
        <v>3</v>
      </c>
      <c r="F188" t="s">
        <v>27</v>
      </c>
      <c r="G188" t="s">
        <v>14</v>
      </c>
      <c r="H188" t="s">
        <v>18</v>
      </c>
      <c r="I188">
        <v>2</v>
      </c>
      <c r="J188" t="s">
        <v>26</v>
      </c>
      <c r="K188" t="s">
        <v>24</v>
      </c>
      <c r="L188">
        <v>56</v>
      </c>
      <c r="M188" t="str">
        <f t="shared" si="2"/>
        <v>Old 55+</v>
      </c>
      <c r="N188" t="s">
        <v>15</v>
      </c>
    </row>
    <row r="189" spans="1:14" x14ac:dyDescent="0.35">
      <c r="A189">
        <v>18151</v>
      </c>
      <c r="B189" t="s">
        <v>37</v>
      </c>
      <c r="C189" t="s">
        <v>39</v>
      </c>
      <c r="D189" s="1">
        <v>80000</v>
      </c>
      <c r="E189">
        <v>5</v>
      </c>
      <c r="F189" t="s">
        <v>19</v>
      </c>
      <c r="G189" t="s">
        <v>21</v>
      </c>
      <c r="H189" t="s">
        <v>18</v>
      </c>
      <c r="I189">
        <v>2</v>
      </c>
      <c r="J189" t="s">
        <v>46</v>
      </c>
      <c r="K189" t="s">
        <v>17</v>
      </c>
      <c r="L189">
        <v>59</v>
      </c>
      <c r="M189" t="str">
        <f t="shared" si="2"/>
        <v>Old 55+</v>
      </c>
      <c r="N189" t="s">
        <v>18</v>
      </c>
    </row>
    <row r="190" spans="1:14" x14ac:dyDescent="0.35">
      <c r="A190">
        <v>20606</v>
      </c>
      <c r="B190" t="s">
        <v>36</v>
      </c>
      <c r="C190" t="s">
        <v>38</v>
      </c>
      <c r="D190" s="1">
        <v>70000</v>
      </c>
      <c r="E190">
        <v>0</v>
      </c>
      <c r="F190" t="s">
        <v>13</v>
      </c>
      <c r="G190" t="s">
        <v>21</v>
      </c>
      <c r="H190" t="s">
        <v>15</v>
      </c>
      <c r="I190">
        <v>4</v>
      </c>
      <c r="J190" t="s">
        <v>46</v>
      </c>
      <c r="K190" t="s">
        <v>24</v>
      </c>
      <c r="L190">
        <v>32</v>
      </c>
      <c r="M190" t="str">
        <f t="shared" si="2"/>
        <v>Middle age 31-54</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 55+</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37</v>
      </c>
      <c r="C194" t="s">
        <v>38</v>
      </c>
      <c r="D194" s="1">
        <v>80000</v>
      </c>
      <c r="E194">
        <v>5</v>
      </c>
      <c r="F194" t="s">
        <v>13</v>
      </c>
      <c r="G194" t="s">
        <v>28</v>
      </c>
      <c r="H194" t="s">
        <v>15</v>
      </c>
      <c r="I194">
        <v>2</v>
      </c>
      <c r="J194" t="s">
        <v>46</v>
      </c>
      <c r="K194" t="s">
        <v>17</v>
      </c>
      <c r="L194">
        <v>62</v>
      </c>
      <c r="M194" t="str">
        <f t="shared" si="2"/>
        <v>Old 55+</v>
      </c>
      <c r="N194" t="s">
        <v>18</v>
      </c>
    </row>
    <row r="195" spans="1:14" x14ac:dyDescent="0.35">
      <c r="A195">
        <v>26032</v>
      </c>
      <c r="B195" t="s">
        <v>36</v>
      </c>
      <c r="C195" t="s">
        <v>38</v>
      </c>
      <c r="D195" s="1">
        <v>70000</v>
      </c>
      <c r="E195">
        <v>5</v>
      </c>
      <c r="F195" t="s">
        <v>13</v>
      </c>
      <c r="G195" t="s">
        <v>21</v>
      </c>
      <c r="H195" t="s">
        <v>15</v>
      </c>
      <c r="I195">
        <v>4</v>
      </c>
      <c r="J195" t="s">
        <v>46</v>
      </c>
      <c r="K195" t="s">
        <v>24</v>
      </c>
      <c r="L195">
        <v>41</v>
      </c>
      <c r="M195" t="str">
        <f t="shared" ref="M195:M258" si="3">IF(L195&gt;54,"Old 55+",IF(L195&gt;=31,"Middle age 31-54",IF(L195&lt;31,"Adolescent 0-30","Invalid")))</f>
        <v>Middle age 31-54</v>
      </c>
      <c r="N195" t="s">
        <v>18</v>
      </c>
    </row>
    <row r="196" spans="1:14" x14ac:dyDescent="0.35">
      <c r="A196">
        <v>17843</v>
      </c>
      <c r="B196" t="s">
        <v>37</v>
      </c>
      <c r="C196" t="s">
        <v>38</v>
      </c>
      <c r="D196" s="1">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Adolescent 0-30</v>
      </c>
      <c r="N197" t="s">
        <v>15</v>
      </c>
    </row>
    <row r="198" spans="1:14" x14ac:dyDescent="0.35">
      <c r="A198">
        <v>16209</v>
      </c>
      <c r="B198" t="s">
        <v>37</v>
      </c>
      <c r="C198" t="s">
        <v>38</v>
      </c>
      <c r="D198" s="1">
        <v>50000</v>
      </c>
      <c r="E198">
        <v>0</v>
      </c>
      <c r="F198" t="s">
        <v>31</v>
      </c>
      <c r="G198" t="s">
        <v>14</v>
      </c>
      <c r="H198" t="s">
        <v>15</v>
      </c>
      <c r="I198">
        <v>0</v>
      </c>
      <c r="J198" t="s">
        <v>26</v>
      </c>
      <c r="K198" t="s">
        <v>17</v>
      </c>
      <c r="L198">
        <v>36</v>
      </c>
      <c r="M198" t="str">
        <f t="shared" si="3"/>
        <v>Middle age 31-54</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 55+</v>
      </c>
      <c r="N199" t="s">
        <v>15</v>
      </c>
    </row>
    <row r="200" spans="1:14" x14ac:dyDescent="0.35">
      <c r="A200">
        <v>15214</v>
      </c>
      <c r="B200" t="s">
        <v>37</v>
      </c>
      <c r="C200" t="s">
        <v>38</v>
      </c>
      <c r="D200" s="1">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37</v>
      </c>
      <c r="C201" t="s">
        <v>39</v>
      </c>
      <c r="D201" s="1">
        <v>80000</v>
      </c>
      <c r="E201">
        <v>0</v>
      </c>
      <c r="F201" t="s">
        <v>13</v>
      </c>
      <c r="G201" t="s">
        <v>21</v>
      </c>
      <c r="H201" t="s">
        <v>18</v>
      </c>
      <c r="I201">
        <v>3</v>
      </c>
      <c r="J201" t="s">
        <v>46</v>
      </c>
      <c r="K201" t="s">
        <v>24</v>
      </c>
      <c r="L201">
        <v>33</v>
      </c>
      <c r="M201" t="str">
        <f t="shared" si="3"/>
        <v>Middle age 31-54</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 31-54</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Adolescent 0-30</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 31-54</v>
      </c>
      <c r="N204" t="s">
        <v>15</v>
      </c>
    </row>
    <row r="205" spans="1:14" x14ac:dyDescent="0.35">
      <c r="A205">
        <v>29298</v>
      </c>
      <c r="B205" t="s">
        <v>37</v>
      </c>
      <c r="C205" t="s">
        <v>38</v>
      </c>
      <c r="D205" s="1">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37</v>
      </c>
      <c r="C206" t="s">
        <v>38</v>
      </c>
      <c r="D206" s="1">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37</v>
      </c>
      <c r="C208" t="s">
        <v>39</v>
      </c>
      <c r="D208" s="1">
        <v>90000</v>
      </c>
      <c r="E208">
        <v>5</v>
      </c>
      <c r="F208" t="s">
        <v>19</v>
      </c>
      <c r="G208" t="s">
        <v>21</v>
      </c>
      <c r="H208" t="s">
        <v>18</v>
      </c>
      <c r="I208">
        <v>2</v>
      </c>
      <c r="J208" t="s">
        <v>46</v>
      </c>
      <c r="K208" t="s">
        <v>17</v>
      </c>
      <c r="L208">
        <v>62</v>
      </c>
      <c r="M208" t="str">
        <f t="shared" si="3"/>
        <v>Old 55+</v>
      </c>
      <c r="N208" t="s">
        <v>18</v>
      </c>
    </row>
    <row r="209" spans="1:14" x14ac:dyDescent="0.35">
      <c r="A209">
        <v>28729</v>
      </c>
      <c r="B209" t="s">
        <v>37</v>
      </c>
      <c r="C209" t="s">
        <v>38</v>
      </c>
      <c r="D209" s="1">
        <v>20000</v>
      </c>
      <c r="E209">
        <v>0</v>
      </c>
      <c r="F209" t="s">
        <v>29</v>
      </c>
      <c r="G209" t="s">
        <v>25</v>
      </c>
      <c r="H209" t="s">
        <v>15</v>
      </c>
      <c r="I209">
        <v>2</v>
      </c>
      <c r="J209" t="s">
        <v>26</v>
      </c>
      <c r="K209" t="s">
        <v>17</v>
      </c>
      <c r="L209">
        <v>26</v>
      </c>
      <c r="M209" t="str">
        <f t="shared" si="3"/>
        <v>Adolescent 0-30</v>
      </c>
      <c r="N209" t="s">
        <v>15</v>
      </c>
    </row>
    <row r="210" spans="1:14" x14ac:dyDescent="0.35">
      <c r="A210">
        <v>22633</v>
      </c>
      <c r="B210" t="s">
        <v>37</v>
      </c>
      <c r="C210" t="s">
        <v>38</v>
      </c>
      <c r="D210" s="1">
        <v>40000</v>
      </c>
      <c r="E210">
        <v>0</v>
      </c>
      <c r="F210" t="s">
        <v>31</v>
      </c>
      <c r="G210" t="s">
        <v>20</v>
      </c>
      <c r="H210" t="s">
        <v>15</v>
      </c>
      <c r="I210">
        <v>0</v>
      </c>
      <c r="J210" t="s">
        <v>16</v>
      </c>
      <c r="K210" t="s">
        <v>17</v>
      </c>
      <c r="L210">
        <v>37</v>
      </c>
      <c r="M210" t="str">
        <f t="shared" si="3"/>
        <v>Middle age 31-54</v>
      </c>
      <c r="N210" t="s">
        <v>15</v>
      </c>
    </row>
    <row r="211" spans="1:14" x14ac:dyDescent="0.35">
      <c r="A211">
        <v>25649</v>
      </c>
      <c r="B211" t="s">
        <v>37</v>
      </c>
      <c r="C211" t="s">
        <v>38</v>
      </c>
      <c r="D211" s="1">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36</v>
      </c>
      <c r="C212" t="s">
        <v>38</v>
      </c>
      <c r="D212" s="1">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36</v>
      </c>
      <c r="C213" t="s">
        <v>38</v>
      </c>
      <c r="D213" s="1">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37</v>
      </c>
      <c r="C214" t="s">
        <v>38</v>
      </c>
      <c r="D214" s="1">
        <v>30000</v>
      </c>
      <c r="E214">
        <v>0</v>
      </c>
      <c r="F214" t="s">
        <v>19</v>
      </c>
      <c r="G214" t="s">
        <v>20</v>
      </c>
      <c r="H214" t="s">
        <v>18</v>
      </c>
      <c r="I214">
        <v>1</v>
      </c>
      <c r="J214" t="s">
        <v>22</v>
      </c>
      <c r="K214" t="s">
        <v>17</v>
      </c>
      <c r="L214">
        <v>30</v>
      </c>
      <c r="M214" t="str">
        <f t="shared" si="3"/>
        <v>Adolescent 0-30</v>
      </c>
      <c r="N214" t="s">
        <v>18</v>
      </c>
    </row>
    <row r="215" spans="1:14" x14ac:dyDescent="0.35">
      <c r="A215">
        <v>11451</v>
      </c>
      <c r="B215" t="s">
        <v>37</v>
      </c>
      <c r="C215" t="s">
        <v>39</v>
      </c>
      <c r="D215" s="1">
        <v>70000</v>
      </c>
      <c r="E215">
        <v>0</v>
      </c>
      <c r="F215" t="s">
        <v>13</v>
      </c>
      <c r="G215" t="s">
        <v>21</v>
      </c>
      <c r="H215" t="s">
        <v>18</v>
      </c>
      <c r="I215">
        <v>4</v>
      </c>
      <c r="J215" t="s">
        <v>46</v>
      </c>
      <c r="K215" t="s">
        <v>24</v>
      </c>
      <c r="L215">
        <v>31</v>
      </c>
      <c r="M215" t="str">
        <f t="shared" si="3"/>
        <v>Middle age 31-54</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 55+</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37</v>
      </c>
      <c r="C219" t="s">
        <v>38</v>
      </c>
      <c r="D219" s="1">
        <v>20000</v>
      </c>
      <c r="E219">
        <v>0</v>
      </c>
      <c r="F219" t="s">
        <v>29</v>
      </c>
      <c r="G219" t="s">
        <v>25</v>
      </c>
      <c r="H219" t="s">
        <v>18</v>
      </c>
      <c r="I219">
        <v>2</v>
      </c>
      <c r="J219" t="s">
        <v>16</v>
      </c>
      <c r="K219" t="s">
        <v>17</v>
      </c>
      <c r="L219">
        <v>25</v>
      </c>
      <c r="M219" t="str">
        <f t="shared" si="3"/>
        <v>Adolescent 0-30</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 31-54</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Adolescent 0-30</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 31-54</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36</v>
      </c>
      <c r="C224" t="s">
        <v>38</v>
      </c>
      <c r="D224" s="1">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37</v>
      </c>
      <c r="C225" t="s">
        <v>38</v>
      </c>
      <c r="D225" s="1">
        <v>70000</v>
      </c>
      <c r="E225">
        <v>5</v>
      </c>
      <c r="F225" t="s">
        <v>13</v>
      </c>
      <c r="G225" t="s">
        <v>21</v>
      </c>
      <c r="H225" t="s">
        <v>15</v>
      </c>
      <c r="I225">
        <v>4</v>
      </c>
      <c r="J225" t="s">
        <v>46</v>
      </c>
      <c r="K225" t="s">
        <v>24</v>
      </c>
      <c r="L225">
        <v>39</v>
      </c>
      <c r="M225" t="str">
        <f t="shared" si="3"/>
        <v>Middle age 31-54</v>
      </c>
      <c r="N225" t="s">
        <v>18</v>
      </c>
    </row>
    <row r="226" spans="1:14" x14ac:dyDescent="0.35">
      <c r="A226">
        <v>19650</v>
      </c>
      <c r="B226" t="s">
        <v>36</v>
      </c>
      <c r="C226" t="s">
        <v>38</v>
      </c>
      <c r="D226" s="1">
        <v>30000</v>
      </c>
      <c r="E226">
        <v>2</v>
      </c>
      <c r="F226" t="s">
        <v>19</v>
      </c>
      <c r="G226" t="s">
        <v>20</v>
      </c>
      <c r="H226" t="s">
        <v>18</v>
      </c>
      <c r="I226">
        <v>2</v>
      </c>
      <c r="J226" t="s">
        <v>16</v>
      </c>
      <c r="K226" t="s">
        <v>24</v>
      </c>
      <c r="L226">
        <v>67</v>
      </c>
      <c r="M226" t="str">
        <f t="shared" si="3"/>
        <v>Old 55+</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37</v>
      </c>
      <c r="C228" t="s">
        <v>38</v>
      </c>
      <c r="D228" s="1">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36</v>
      </c>
      <c r="C230" t="s">
        <v>38</v>
      </c>
      <c r="D230" s="1">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37</v>
      </c>
      <c r="C231" t="s">
        <v>39</v>
      </c>
      <c r="D231" s="1">
        <v>80000</v>
      </c>
      <c r="E231">
        <v>5</v>
      </c>
      <c r="F231" t="s">
        <v>27</v>
      </c>
      <c r="G231" t="s">
        <v>28</v>
      </c>
      <c r="H231" t="s">
        <v>15</v>
      </c>
      <c r="I231">
        <v>3</v>
      </c>
      <c r="J231" t="s">
        <v>46</v>
      </c>
      <c r="K231" t="s">
        <v>17</v>
      </c>
      <c r="L231">
        <v>57</v>
      </c>
      <c r="M231" t="str">
        <f t="shared" si="3"/>
        <v>Old 55+</v>
      </c>
      <c r="N231" t="s">
        <v>18</v>
      </c>
    </row>
    <row r="232" spans="1:14" x14ac:dyDescent="0.35">
      <c r="A232">
        <v>22830</v>
      </c>
      <c r="B232" t="s">
        <v>36</v>
      </c>
      <c r="C232" t="s">
        <v>39</v>
      </c>
      <c r="D232" s="1">
        <v>120000</v>
      </c>
      <c r="E232">
        <v>4</v>
      </c>
      <c r="F232" t="s">
        <v>19</v>
      </c>
      <c r="G232" t="s">
        <v>28</v>
      </c>
      <c r="H232" t="s">
        <v>15</v>
      </c>
      <c r="I232">
        <v>3</v>
      </c>
      <c r="J232" t="s">
        <v>46</v>
      </c>
      <c r="K232" t="s">
        <v>17</v>
      </c>
      <c r="L232">
        <v>56</v>
      </c>
      <c r="M232" t="str">
        <f t="shared" si="3"/>
        <v>Old 55+</v>
      </c>
      <c r="N232" t="s">
        <v>18</v>
      </c>
    </row>
    <row r="233" spans="1:14" x14ac:dyDescent="0.35">
      <c r="A233">
        <v>14777</v>
      </c>
      <c r="B233" t="s">
        <v>36</v>
      </c>
      <c r="C233" t="s">
        <v>38</v>
      </c>
      <c r="D233" s="1">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36</v>
      </c>
      <c r="C234" t="s">
        <v>38</v>
      </c>
      <c r="D234" s="1">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Adolescent 0-30</v>
      </c>
      <c r="N235" t="s">
        <v>15</v>
      </c>
    </row>
    <row r="236" spans="1:14" x14ac:dyDescent="0.35">
      <c r="A236">
        <v>24611</v>
      </c>
      <c r="B236" t="s">
        <v>37</v>
      </c>
      <c r="C236" t="s">
        <v>39</v>
      </c>
      <c r="D236" s="1">
        <v>90000</v>
      </c>
      <c r="E236">
        <v>0</v>
      </c>
      <c r="F236" t="s">
        <v>13</v>
      </c>
      <c r="G236" t="s">
        <v>21</v>
      </c>
      <c r="H236" t="s">
        <v>18</v>
      </c>
      <c r="I236">
        <v>4</v>
      </c>
      <c r="J236" t="s">
        <v>46</v>
      </c>
      <c r="K236" t="s">
        <v>24</v>
      </c>
      <c r="L236">
        <v>35</v>
      </c>
      <c r="M236" t="str">
        <f t="shared" si="3"/>
        <v>Middle age 31-54</v>
      </c>
      <c r="N236" t="s">
        <v>15</v>
      </c>
    </row>
    <row r="237" spans="1:14" x14ac:dyDescent="0.35">
      <c r="A237">
        <v>11340</v>
      </c>
      <c r="B237" t="s">
        <v>36</v>
      </c>
      <c r="C237" t="s">
        <v>38</v>
      </c>
      <c r="D237" s="1">
        <v>10000</v>
      </c>
      <c r="E237">
        <v>1</v>
      </c>
      <c r="F237" t="s">
        <v>31</v>
      </c>
      <c r="G237" t="s">
        <v>20</v>
      </c>
      <c r="H237" t="s">
        <v>15</v>
      </c>
      <c r="I237">
        <v>0</v>
      </c>
      <c r="J237" t="s">
        <v>16</v>
      </c>
      <c r="K237" t="s">
        <v>17</v>
      </c>
      <c r="L237">
        <v>70</v>
      </c>
      <c r="M237" t="str">
        <f t="shared" si="3"/>
        <v>Old 55+</v>
      </c>
      <c r="N237" t="s">
        <v>15</v>
      </c>
    </row>
    <row r="238" spans="1:14" x14ac:dyDescent="0.35">
      <c r="A238">
        <v>25693</v>
      </c>
      <c r="B238" t="s">
        <v>37</v>
      </c>
      <c r="C238" t="s">
        <v>38</v>
      </c>
      <c r="D238" s="1">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36</v>
      </c>
      <c r="C239" t="s">
        <v>38</v>
      </c>
      <c r="D239" s="1">
        <v>10000</v>
      </c>
      <c r="E239">
        <v>0</v>
      </c>
      <c r="F239" t="s">
        <v>19</v>
      </c>
      <c r="G239" t="s">
        <v>25</v>
      </c>
      <c r="H239" t="s">
        <v>18</v>
      </c>
      <c r="I239">
        <v>1</v>
      </c>
      <c r="J239" t="s">
        <v>16</v>
      </c>
      <c r="K239" t="s">
        <v>24</v>
      </c>
      <c r="L239">
        <v>26</v>
      </c>
      <c r="M239" t="str">
        <f t="shared" si="3"/>
        <v>Adolescent 0-30</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 31-54</v>
      </c>
      <c r="N240" t="s">
        <v>18</v>
      </c>
    </row>
    <row r="241" spans="1:14" x14ac:dyDescent="0.35">
      <c r="A241">
        <v>20060</v>
      </c>
      <c r="B241" t="s">
        <v>37</v>
      </c>
      <c r="C241" t="s">
        <v>38</v>
      </c>
      <c r="D241" s="1">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37</v>
      </c>
      <c r="C243" t="s">
        <v>38</v>
      </c>
      <c r="D243" s="1">
        <v>30000</v>
      </c>
      <c r="E243">
        <v>3</v>
      </c>
      <c r="F243" t="s">
        <v>19</v>
      </c>
      <c r="G243" t="s">
        <v>20</v>
      </c>
      <c r="H243" t="s">
        <v>15</v>
      </c>
      <c r="I243">
        <v>2</v>
      </c>
      <c r="J243" t="s">
        <v>16</v>
      </c>
      <c r="K243" t="s">
        <v>17</v>
      </c>
      <c r="L243">
        <v>27</v>
      </c>
      <c r="M243" t="str">
        <f t="shared" si="3"/>
        <v>Adolescent 0-30</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 31-54</v>
      </c>
      <c r="N244" t="s">
        <v>15</v>
      </c>
    </row>
    <row r="245" spans="1:14" x14ac:dyDescent="0.35">
      <c r="A245">
        <v>22527</v>
      </c>
      <c r="B245" t="s">
        <v>37</v>
      </c>
      <c r="C245" t="s">
        <v>38</v>
      </c>
      <c r="D245" s="1">
        <v>20000</v>
      </c>
      <c r="E245">
        <v>0</v>
      </c>
      <c r="F245" t="s">
        <v>27</v>
      </c>
      <c r="G245" t="s">
        <v>25</v>
      </c>
      <c r="H245" t="s">
        <v>18</v>
      </c>
      <c r="I245">
        <v>1</v>
      </c>
      <c r="J245" t="s">
        <v>22</v>
      </c>
      <c r="K245" t="s">
        <v>17</v>
      </c>
      <c r="L245">
        <v>29</v>
      </c>
      <c r="M245" t="str">
        <f t="shared" si="3"/>
        <v>Adolescent 0-30</v>
      </c>
      <c r="N245" t="s">
        <v>18</v>
      </c>
    </row>
    <row r="246" spans="1:14" x14ac:dyDescent="0.35">
      <c r="A246">
        <v>19057</v>
      </c>
      <c r="B246" t="s">
        <v>36</v>
      </c>
      <c r="C246" t="s">
        <v>38</v>
      </c>
      <c r="D246" s="1">
        <v>120000</v>
      </c>
      <c r="E246">
        <v>3</v>
      </c>
      <c r="F246" t="s">
        <v>13</v>
      </c>
      <c r="G246" t="s">
        <v>28</v>
      </c>
      <c r="H246" t="s">
        <v>18</v>
      </c>
      <c r="I246">
        <v>2</v>
      </c>
      <c r="J246" t="s">
        <v>46</v>
      </c>
      <c r="K246" t="s">
        <v>17</v>
      </c>
      <c r="L246">
        <v>52</v>
      </c>
      <c r="M246" t="str">
        <f t="shared" si="3"/>
        <v>Middle age 31-54</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36</v>
      </c>
      <c r="C248" t="s">
        <v>38</v>
      </c>
      <c r="D248" s="1">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36</v>
      </c>
      <c r="C249" t="s">
        <v>38</v>
      </c>
      <c r="D249" s="1">
        <v>100000</v>
      </c>
      <c r="E249">
        <v>0</v>
      </c>
      <c r="F249" t="s">
        <v>27</v>
      </c>
      <c r="G249" t="s">
        <v>28</v>
      </c>
      <c r="H249" t="s">
        <v>15</v>
      </c>
      <c r="I249">
        <v>4</v>
      </c>
      <c r="J249" t="s">
        <v>46</v>
      </c>
      <c r="K249" t="s">
        <v>24</v>
      </c>
      <c r="L249">
        <v>34</v>
      </c>
      <c r="M249" t="str">
        <f t="shared" si="3"/>
        <v>Middle age 31-54</v>
      </c>
      <c r="N249" t="s">
        <v>15</v>
      </c>
    </row>
    <row r="250" spans="1:14" x14ac:dyDescent="0.35">
      <c r="A250">
        <v>13981</v>
      </c>
      <c r="B250" t="s">
        <v>36</v>
      </c>
      <c r="C250" t="s">
        <v>38</v>
      </c>
      <c r="D250" s="1">
        <v>10000</v>
      </c>
      <c r="E250">
        <v>5</v>
      </c>
      <c r="F250" t="s">
        <v>27</v>
      </c>
      <c r="G250" t="s">
        <v>14</v>
      </c>
      <c r="H250" t="s">
        <v>18</v>
      </c>
      <c r="I250">
        <v>3</v>
      </c>
      <c r="J250" t="s">
        <v>26</v>
      </c>
      <c r="K250" t="s">
        <v>24</v>
      </c>
      <c r="L250">
        <v>62</v>
      </c>
      <c r="M250" t="str">
        <f t="shared" si="3"/>
        <v>Old 55+</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 55+</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 55+</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 31-54</v>
      </c>
      <c r="N254" t="s">
        <v>18</v>
      </c>
    </row>
    <row r="255" spans="1:14" x14ac:dyDescent="0.35">
      <c r="A255">
        <v>20598</v>
      </c>
      <c r="B255" t="s">
        <v>36</v>
      </c>
      <c r="C255" t="s">
        <v>39</v>
      </c>
      <c r="D255" s="1">
        <v>100000</v>
      </c>
      <c r="E255">
        <v>3</v>
      </c>
      <c r="F255" t="s">
        <v>29</v>
      </c>
      <c r="G255" t="s">
        <v>21</v>
      </c>
      <c r="H255" t="s">
        <v>15</v>
      </c>
      <c r="I255">
        <v>0</v>
      </c>
      <c r="J255" t="s">
        <v>46</v>
      </c>
      <c r="K255" t="s">
        <v>17</v>
      </c>
      <c r="L255">
        <v>59</v>
      </c>
      <c r="M255" t="str">
        <f t="shared" si="3"/>
        <v>Old 55+</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 55+</v>
      </c>
      <c r="N256" t="s">
        <v>18</v>
      </c>
    </row>
    <row r="257" spans="1:14" x14ac:dyDescent="0.35">
      <c r="A257">
        <v>20839</v>
      </c>
      <c r="B257" t="s">
        <v>37</v>
      </c>
      <c r="C257" t="s">
        <v>38</v>
      </c>
      <c r="D257" s="1">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 31-54</v>
      </c>
      <c r="N258" t="s">
        <v>18</v>
      </c>
    </row>
    <row r="259" spans="1:14" x14ac:dyDescent="0.35">
      <c r="A259">
        <v>14164</v>
      </c>
      <c r="B259" t="s">
        <v>37</v>
      </c>
      <c r="C259" t="s">
        <v>38</v>
      </c>
      <c r="D259" s="1">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35">
      <c r="A260">
        <v>14193</v>
      </c>
      <c r="B260" t="s">
        <v>37</v>
      </c>
      <c r="C260" t="s">
        <v>38</v>
      </c>
      <c r="D260" s="1">
        <v>100000</v>
      </c>
      <c r="E260">
        <v>3</v>
      </c>
      <c r="F260" t="s">
        <v>19</v>
      </c>
      <c r="G260" t="s">
        <v>28</v>
      </c>
      <c r="H260" t="s">
        <v>15</v>
      </c>
      <c r="I260">
        <v>4</v>
      </c>
      <c r="J260" t="s">
        <v>46</v>
      </c>
      <c r="K260" t="s">
        <v>17</v>
      </c>
      <c r="L260">
        <v>56</v>
      </c>
      <c r="M260" t="str">
        <f t="shared" si="4"/>
        <v>Old 55+</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37</v>
      </c>
      <c r="C262" t="s">
        <v>38</v>
      </c>
      <c r="D262" s="1">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36</v>
      </c>
      <c r="C263" t="s">
        <v>38</v>
      </c>
      <c r="D263" s="1">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36</v>
      </c>
      <c r="C264" t="s">
        <v>38</v>
      </c>
      <c r="D264" s="1">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37</v>
      </c>
      <c r="C265" t="s">
        <v>38</v>
      </c>
      <c r="D265" s="1">
        <v>70000</v>
      </c>
      <c r="E265">
        <v>5</v>
      </c>
      <c r="F265" t="s">
        <v>13</v>
      </c>
      <c r="G265" t="s">
        <v>21</v>
      </c>
      <c r="H265" t="s">
        <v>15</v>
      </c>
      <c r="I265">
        <v>3</v>
      </c>
      <c r="J265" t="s">
        <v>46</v>
      </c>
      <c r="K265" t="s">
        <v>24</v>
      </c>
      <c r="L265">
        <v>39</v>
      </c>
      <c r="M265" t="str">
        <f t="shared" si="4"/>
        <v>Middle age 31-54</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37</v>
      </c>
      <c r="C267" t="s">
        <v>38</v>
      </c>
      <c r="D267" s="1">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37</v>
      </c>
      <c r="C268" t="s">
        <v>38</v>
      </c>
      <c r="D268" s="1">
        <v>20000</v>
      </c>
      <c r="E268">
        <v>5</v>
      </c>
      <c r="F268" t="s">
        <v>27</v>
      </c>
      <c r="G268" t="s">
        <v>25</v>
      </c>
      <c r="H268" t="s">
        <v>15</v>
      </c>
      <c r="I268">
        <v>2</v>
      </c>
      <c r="J268" t="s">
        <v>16</v>
      </c>
      <c r="K268" t="s">
        <v>17</v>
      </c>
      <c r="L268">
        <v>27</v>
      </c>
      <c r="M268" t="str">
        <f t="shared" si="4"/>
        <v>Adolescent 0-30</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 31-54</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37</v>
      </c>
      <c r="C271" t="s">
        <v>38</v>
      </c>
      <c r="D271" s="1">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37</v>
      </c>
      <c r="C272" t="s">
        <v>38</v>
      </c>
      <c r="D272" s="1">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37</v>
      </c>
      <c r="C273" t="s">
        <v>38</v>
      </c>
      <c r="D273" s="1">
        <v>20000</v>
      </c>
      <c r="E273">
        <v>0</v>
      </c>
      <c r="F273" t="s">
        <v>27</v>
      </c>
      <c r="G273" t="s">
        <v>25</v>
      </c>
      <c r="H273" t="s">
        <v>18</v>
      </c>
      <c r="I273">
        <v>1</v>
      </c>
      <c r="J273" t="s">
        <v>26</v>
      </c>
      <c r="K273" t="s">
        <v>17</v>
      </c>
      <c r="L273">
        <v>28</v>
      </c>
      <c r="M273" t="str">
        <f t="shared" si="4"/>
        <v>Adolescent 0-30</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 31-54</v>
      </c>
      <c r="N274" t="s">
        <v>15</v>
      </c>
    </row>
    <row r="275" spans="1:14" x14ac:dyDescent="0.35">
      <c r="A275">
        <v>26879</v>
      </c>
      <c r="B275" t="s">
        <v>37</v>
      </c>
      <c r="C275" t="s">
        <v>38</v>
      </c>
      <c r="D275" s="1">
        <v>20000</v>
      </c>
      <c r="E275">
        <v>0</v>
      </c>
      <c r="F275" t="s">
        <v>27</v>
      </c>
      <c r="G275" t="s">
        <v>25</v>
      </c>
      <c r="H275" t="s">
        <v>18</v>
      </c>
      <c r="I275">
        <v>1</v>
      </c>
      <c r="J275" t="s">
        <v>22</v>
      </c>
      <c r="K275" t="s">
        <v>17</v>
      </c>
      <c r="L275">
        <v>30</v>
      </c>
      <c r="M275" t="str">
        <f t="shared" si="4"/>
        <v>Adolescent 0-30</v>
      </c>
      <c r="N275" t="s">
        <v>18</v>
      </c>
    </row>
    <row r="276" spans="1:14" x14ac:dyDescent="0.35">
      <c r="A276">
        <v>12284</v>
      </c>
      <c r="B276" t="s">
        <v>36</v>
      </c>
      <c r="C276" t="s">
        <v>38</v>
      </c>
      <c r="D276" s="1">
        <v>30000</v>
      </c>
      <c r="E276">
        <v>0</v>
      </c>
      <c r="F276" t="s">
        <v>13</v>
      </c>
      <c r="G276" t="s">
        <v>20</v>
      </c>
      <c r="H276" t="s">
        <v>18</v>
      </c>
      <c r="I276">
        <v>0</v>
      </c>
      <c r="J276" t="s">
        <v>16</v>
      </c>
      <c r="K276" t="s">
        <v>17</v>
      </c>
      <c r="L276">
        <v>36</v>
      </c>
      <c r="M276" t="str">
        <f t="shared" si="4"/>
        <v>Middle age 31-54</v>
      </c>
      <c r="N276" t="s">
        <v>15</v>
      </c>
    </row>
    <row r="277" spans="1:14" x14ac:dyDescent="0.35">
      <c r="A277">
        <v>26654</v>
      </c>
      <c r="B277" t="s">
        <v>36</v>
      </c>
      <c r="C277" t="s">
        <v>38</v>
      </c>
      <c r="D277" s="1">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36</v>
      </c>
      <c r="C278" t="s">
        <v>38</v>
      </c>
      <c r="D278" s="1">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36</v>
      </c>
      <c r="C279" t="s">
        <v>38</v>
      </c>
      <c r="D279" s="1">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36</v>
      </c>
      <c r="C280" t="s">
        <v>39</v>
      </c>
      <c r="D280" s="1">
        <v>100000</v>
      </c>
      <c r="E280">
        <v>0</v>
      </c>
      <c r="F280" t="s">
        <v>27</v>
      </c>
      <c r="G280" t="s">
        <v>28</v>
      </c>
      <c r="H280" t="s">
        <v>15</v>
      </c>
      <c r="I280">
        <v>3</v>
      </c>
      <c r="J280" t="s">
        <v>46</v>
      </c>
      <c r="K280" t="s">
        <v>24</v>
      </c>
      <c r="L280">
        <v>35</v>
      </c>
      <c r="M280" t="str">
        <f t="shared" si="4"/>
        <v>Middle age 31-54</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37</v>
      </c>
      <c r="C282" t="s">
        <v>38</v>
      </c>
      <c r="D282" s="1">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36</v>
      </c>
      <c r="C285" t="s">
        <v>38</v>
      </c>
      <c r="D285" s="1">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36</v>
      </c>
      <c r="C287" t="s">
        <v>38</v>
      </c>
      <c r="D287" s="1">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37</v>
      </c>
      <c r="C288" t="s">
        <v>38</v>
      </c>
      <c r="D288" s="1">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37</v>
      </c>
      <c r="C289" t="s">
        <v>38</v>
      </c>
      <c r="D289" s="1">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37</v>
      </c>
      <c r="C292" t="s">
        <v>38</v>
      </c>
      <c r="D292" s="1">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36</v>
      </c>
      <c r="C294" t="s">
        <v>38</v>
      </c>
      <c r="D294" s="1">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37</v>
      </c>
      <c r="C295" t="s">
        <v>38</v>
      </c>
      <c r="D295" s="1">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37</v>
      </c>
      <c r="C297" t="s">
        <v>38</v>
      </c>
      <c r="D297" s="1">
        <v>110000</v>
      </c>
      <c r="E297">
        <v>0</v>
      </c>
      <c r="F297" t="s">
        <v>19</v>
      </c>
      <c r="G297" t="s">
        <v>28</v>
      </c>
      <c r="H297" t="s">
        <v>15</v>
      </c>
      <c r="I297">
        <v>3</v>
      </c>
      <c r="J297" t="s">
        <v>46</v>
      </c>
      <c r="K297" t="s">
        <v>24</v>
      </c>
      <c r="L297">
        <v>32</v>
      </c>
      <c r="M297" t="str">
        <f t="shared" si="4"/>
        <v>Middle age 31-54</v>
      </c>
      <c r="N297" t="s">
        <v>15</v>
      </c>
    </row>
    <row r="298" spans="1:14" x14ac:dyDescent="0.35">
      <c r="A298">
        <v>26663</v>
      </c>
      <c r="B298" t="s">
        <v>37</v>
      </c>
      <c r="C298" t="s">
        <v>38</v>
      </c>
      <c r="D298" s="1">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36</v>
      </c>
      <c r="C300" t="s">
        <v>38</v>
      </c>
      <c r="D300" s="1">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36</v>
      </c>
      <c r="C301" t="s">
        <v>38</v>
      </c>
      <c r="D301" s="1">
        <v>30000</v>
      </c>
      <c r="E301">
        <v>2</v>
      </c>
      <c r="F301" t="s">
        <v>19</v>
      </c>
      <c r="G301" t="s">
        <v>20</v>
      </c>
      <c r="H301" t="s">
        <v>18</v>
      </c>
      <c r="I301">
        <v>2</v>
      </c>
      <c r="J301" t="s">
        <v>23</v>
      </c>
      <c r="K301" t="s">
        <v>24</v>
      </c>
      <c r="L301">
        <v>69</v>
      </c>
      <c r="M301" t="str">
        <f t="shared" si="4"/>
        <v>Old 55+</v>
      </c>
      <c r="N301" t="s">
        <v>18</v>
      </c>
    </row>
    <row r="302" spans="1:14" x14ac:dyDescent="0.35">
      <c r="A302">
        <v>25906</v>
      </c>
      <c r="B302" t="s">
        <v>37</v>
      </c>
      <c r="C302" t="s">
        <v>38</v>
      </c>
      <c r="D302" s="1">
        <v>10000</v>
      </c>
      <c r="E302">
        <v>5</v>
      </c>
      <c r="F302" t="s">
        <v>27</v>
      </c>
      <c r="G302" t="s">
        <v>14</v>
      </c>
      <c r="H302" t="s">
        <v>18</v>
      </c>
      <c r="I302">
        <v>2</v>
      </c>
      <c r="J302" t="s">
        <v>26</v>
      </c>
      <c r="K302" t="s">
        <v>24</v>
      </c>
      <c r="L302">
        <v>62</v>
      </c>
      <c r="M302" t="str">
        <f t="shared" si="4"/>
        <v>Old 55+</v>
      </c>
      <c r="N302" t="s">
        <v>18</v>
      </c>
    </row>
    <row r="303" spans="1:14" x14ac:dyDescent="0.35">
      <c r="A303">
        <v>17926</v>
      </c>
      <c r="B303" t="s">
        <v>37</v>
      </c>
      <c r="C303" t="s">
        <v>38</v>
      </c>
      <c r="D303" s="1">
        <v>40000</v>
      </c>
      <c r="E303">
        <v>0</v>
      </c>
      <c r="F303" t="s">
        <v>13</v>
      </c>
      <c r="G303" t="s">
        <v>20</v>
      </c>
      <c r="H303" t="s">
        <v>18</v>
      </c>
      <c r="I303">
        <v>0</v>
      </c>
      <c r="J303" t="s">
        <v>16</v>
      </c>
      <c r="K303" t="s">
        <v>24</v>
      </c>
      <c r="L303">
        <v>28</v>
      </c>
      <c r="M303" t="str">
        <f t="shared" si="4"/>
        <v>Adolescent 0-30</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 55+</v>
      </c>
      <c r="N304" t="s">
        <v>15</v>
      </c>
    </row>
    <row r="305" spans="1:14" x14ac:dyDescent="0.35">
      <c r="A305">
        <v>20897</v>
      </c>
      <c r="B305" t="s">
        <v>36</v>
      </c>
      <c r="C305" t="s">
        <v>38</v>
      </c>
      <c r="D305" s="1">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 55+</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 55+</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36</v>
      </c>
      <c r="C311" t="s">
        <v>38</v>
      </c>
      <c r="D311" s="1">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 55+</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 55+</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36</v>
      </c>
      <c r="C320" t="s">
        <v>39</v>
      </c>
      <c r="D320" s="1">
        <v>130000</v>
      </c>
      <c r="E320">
        <v>4</v>
      </c>
      <c r="F320" t="s">
        <v>19</v>
      </c>
      <c r="G320" t="s">
        <v>21</v>
      </c>
      <c r="H320" t="s">
        <v>18</v>
      </c>
      <c r="I320">
        <v>3</v>
      </c>
      <c r="J320" t="s">
        <v>46</v>
      </c>
      <c r="K320" t="s">
        <v>17</v>
      </c>
      <c r="L320">
        <v>54</v>
      </c>
      <c r="M320" t="str">
        <f t="shared" si="4"/>
        <v>Middle age 31-54</v>
      </c>
      <c r="N320" t="s">
        <v>18</v>
      </c>
    </row>
    <row r="321" spans="1:14" x14ac:dyDescent="0.35">
      <c r="A321">
        <v>11386</v>
      </c>
      <c r="B321" t="s">
        <v>36</v>
      </c>
      <c r="C321" t="s">
        <v>38</v>
      </c>
      <c r="D321" s="1">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 31-54</v>
      </c>
      <c r="N322" t="s">
        <v>15</v>
      </c>
    </row>
    <row r="323" spans="1:14" x14ac:dyDescent="0.35">
      <c r="A323">
        <v>16675</v>
      </c>
      <c r="B323" t="s">
        <v>37</v>
      </c>
      <c r="C323" t="s">
        <v>38</v>
      </c>
      <c r="D323" s="1">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35">
      <c r="A324">
        <v>16410</v>
      </c>
      <c r="B324" t="s">
        <v>37</v>
      </c>
      <c r="C324" t="s">
        <v>38</v>
      </c>
      <c r="D324" s="1">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37</v>
      </c>
      <c r="C325" t="s">
        <v>38</v>
      </c>
      <c r="D325" s="1">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36</v>
      </c>
      <c r="C328" t="s">
        <v>38</v>
      </c>
      <c r="D328" s="1">
        <v>20000</v>
      </c>
      <c r="E328">
        <v>0</v>
      </c>
      <c r="F328" t="s">
        <v>13</v>
      </c>
      <c r="G328" t="s">
        <v>20</v>
      </c>
      <c r="H328" t="s">
        <v>18</v>
      </c>
      <c r="I328">
        <v>0</v>
      </c>
      <c r="J328" t="s">
        <v>16</v>
      </c>
      <c r="K328" t="s">
        <v>24</v>
      </c>
      <c r="L328">
        <v>26</v>
      </c>
      <c r="M328" t="str">
        <f t="shared" si="5"/>
        <v>Adolescent 0-30</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 31-54</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36</v>
      </c>
      <c r="C331" t="s">
        <v>38</v>
      </c>
      <c r="D331" s="1">
        <v>90000</v>
      </c>
      <c r="E331">
        <v>5</v>
      </c>
      <c r="F331" t="s">
        <v>29</v>
      </c>
      <c r="G331" t="s">
        <v>14</v>
      </c>
      <c r="H331" t="s">
        <v>15</v>
      </c>
      <c r="I331">
        <v>2</v>
      </c>
      <c r="J331" t="s">
        <v>46</v>
      </c>
      <c r="K331" t="s">
        <v>17</v>
      </c>
      <c r="L331">
        <v>59</v>
      </c>
      <c r="M331" t="str">
        <f t="shared" si="5"/>
        <v>Old 55+</v>
      </c>
      <c r="N331" t="s">
        <v>18</v>
      </c>
    </row>
    <row r="332" spans="1:14" x14ac:dyDescent="0.35">
      <c r="A332">
        <v>24898</v>
      </c>
      <c r="B332" t="s">
        <v>37</v>
      </c>
      <c r="C332" t="s">
        <v>38</v>
      </c>
      <c r="D332" s="1">
        <v>80000</v>
      </c>
      <c r="E332">
        <v>0</v>
      </c>
      <c r="F332" t="s">
        <v>13</v>
      </c>
      <c r="G332" t="s">
        <v>21</v>
      </c>
      <c r="H332" t="s">
        <v>15</v>
      </c>
      <c r="I332">
        <v>3</v>
      </c>
      <c r="J332" t="s">
        <v>46</v>
      </c>
      <c r="K332" t="s">
        <v>24</v>
      </c>
      <c r="L332">
        <v>32</v>
      </c>
      <c r="M332" t="str">
        <f t="shared" si="5"/>
        <v>Middle age 31-54</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Adolescent 0-30</v>
      </c>
      <c r="N333" t="s">
        <v>18</v>
      </c>
    </row>
    <row r="334" spans="1:14" x14ac:dyDescent="0.35">
      <c r="A334">
        <v>11489</v>
      </c>
      <c r="B334" t="s">
        <v>37</v>
      </c>
      <c r="C334" t="s">
        <v>38</v>
      </c>
      <c r="D334" s="1">
        <v>20000</v>
      </c>
      <c r="E334">
        <v>0</v>
      </c>
      <c r="F334" t="s">
        <v>29</v>
      </c>
      <c r="G334" t="s">
        <v>25</v>
      </c>
      <c r="H334" t="s">
        <v>18</v>
      </c>
      <c r="I334">
        <v>2</v>
      </c>
      <c r="J334" t="s">
        <v>26</v>
      </c>
      <c r="K334" t="s">
        <v>17</v>
      </c>
      <c r="L334">
        <v>35</v>
      </c>
      <c r="M334" t="str">
        <f t="shared" si="5"/>
        <v>Middle age 31-54</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37</v>
      </c>
      <c r="C340" t="s">
        <v>38</v>
      </c>
      <c r="D340" s="1">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 55+</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Adolescent 0-30</v>
      </c>
      <c r="N342" t="s">
        <v>18</v>
      </c>
    </row>
    <row r="343" spans="1:14" x14ac:dyDescent="0.35">
      <c r="A343">
        <v>19174</v>
      </c>
      <c r="B343" t="s">
        <v>37</v>
      </c>
      <c r="C343" t="s">
        <v>38</v>
      </c>
      <c r="D343" s="1">
        <v>30000</v>
      </c>
      <c r="E343">
        <v>0</v>
      </c>
      <c r="F343" t="s">
        <v>27</v>
      </c>
      <c r="G343" t="s">
        <v>25</v>
      </c>
      <c r="H343" t="s">
        <v>18</v>
      </c>
      <c r="I343">
        <v>1</v>
      </c>
      <c r="J343" t="s">
        <v>22</v>
      </c>
      <c r="K343" t="s">
        <v>17</v>
      </c>
      <c r="L343">
        <v>32</v>
      </c>
      <c r="M343" t="str">
        <f t="shared" si="5"/>
        <v>Middle age 31-54</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37</v>
      </c>
      <c r="C345" t="s">
        <v>38</v>
      </c>
      <c r="D345" s="1">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 31-54</v>
      </c>
      <c r="N346" t="s">
        <v>15</v>
      </c>
    </row>
    <row r="347" spans="1:14" x14ac:dyDescent="0.35">
      <c r="A347">
        <v>17894</v>
      </c>
      <c r="B347" t="s">
        <v>36</v>
      </c>
      <c r="C347" t="s">
        <v>38</v>
      </c>
      <c r="D347" s="1">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37</v>
      </c>
      <c r="C349" t="s">
        <v>38</v>
      </c>
      <c r="D349" s="1">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37</v>
      </c>
      <c r="C351" t="s">
        <v>38</v>
      </c>
      <c r="D351" s="1">
        <v>30000</v>
      </c>
      <c r="E351">
        <v>0</v>
      </c>
      <c r="F351" t="s">
        <v>19</v>
      </c>
      <c r="G351" t="s">
        <v>20</v>
      </c>
      <c r="H351" t="s">
        <v>18</v>
      </c>
      <c r="I351">
        <v>1</v>
      </c>
      <c r="J351" t="s">
        <v>16</v>
      </c>
      <c r="K351" t="s">
        <v>17</v>
      </c>
      <c r="L351">
        <v>29</v>
      </c>
      <c r="M351" t="str">
        <f t="shared" si="5"/>
        <v>Adolescent 0-30</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Adolescent 0-30</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 31-54</v>
      </c>
      <c r="N353" t="s">
        <v>15</v>
      </c>
    </row>
    <row r="354" spans="1:14" x14ac:dyDescent="0.35">
      <c r="A354">
        <v>27941</v>
      </c>
      <c r="B354" t="s">
        <v>36</v>
      </c>
      <c r="C354" t="s">
        <v>38</v>
      </c>
      <c r="D354" s="1">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37</v>
      </c>
      <c r="C357" t="s">
        <v>39</v>
      </c>
      <c r="D357" s="1">
        <v>80000</v>
      </c>
      <c r="E357">
        <v>0</v>
      </c>
      <c r="F357" t="s">
        <v>13</v>
      </c>
      <c r="G357" t="s">
        <v>21</v>
      </c>
      <c r="H357" t="s">
        <v>15</v>
      </c>
      <c r="I357">
        <v>3</v>
      </c>
      <c r="J357" t="s">
        <v>46</v>
      </c>
      <c r="K357" t="s">
        <v>24</v>
      </c>
      <c r="L357">
        <v>32</v>
      </c>
      <c r="M357" t="str">
        <f t="shared" si="5"/>
        <v>Middle age 31-54</v>
      </c>
      <c r="N357" t="s">
        <v>18</v>
      </c>
    </row>
    <row r="358" spans="1:14" x14ac:dyDescent="0.35">
      <c r="A358">
        <v>23608</v>
      </c>
      <c r="B358" t="s">
        <v>36</v>
      </c>
      <c r="C358" t="s">
        <v>38</v>
      </c>
      <c r="D358" s="1">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37</v>
      </c>
      <c r="C359" t="s">
        <v>38</v>
      </c>
      <c r="D359" s="1">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 55+</v>
      </c>
      <c r="N360" t="s">
        <v>15</v>
      </c>
    </row>
    <row r="361" spans="1:14" x14ac:dyDescent="0.35">
      <c r="A361">
        <v>17230</v>
      </c>
      <c r="B361" t="s">
        <v>36</v>
      </c>
      <c r="C361" t="s">
        <v>39</v>
      </c>
      <c r="D361" s="1">
        <v>80000</v>
      </c>
      <c r="E361">
        <v>0</v>
      </c>
      <c r="F361" t="s">
        <v>13</v>
      </c>
      <c r="G361" t="s">
        <v>21</v>
      </c>
      <c r="H361" t="s">
        <v>15</v>
      </c>
      <c r="I361">
        <v>3</v>
      </c>
      <c r="J361" t="s">
        <v>46</v>
      </c>
      <c r="K361" t="s">
        <v>24</v>
      </c>
      <c r="L361">
        <v>30</v>
      </c>
      <c r="M361" t="str">
        <f t="shared" si="5"/>
        <v>Adolescent 0-30</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 31-54</v>
      </c>
      <c r="N362" t="s">
        <v>15</v>
      </c>
    </row>
    <row r="363" spans="1:14" x14ac:dyDescent="0.35">
      <c r="A363">
        <v>22518</v>
      </c>
      <c r="B363" t="s">
        <v>37</v>
      </c>
      <c r="C363" t="s">
        <v>38</v>
      </c>
      <c r="D363" s="1">
        <v>30000</v>
      </c>
      <c r="E363">
        <v>3</v>
      </c>
      <c r="F363" t="s">
        <v>19</v>
      </c>
      <c r="G363" t="s">
        <v>20</v>
      </c>
      <c r="H363" t="s">
        <v>18</v>
      </c>
      <c r="I363">
        <v>2</v>
      </c>
      <c r="J363" t="s">
        <v>16</v>
      </c>
      <c r="K363" t="s">
        <v>17</v>
      </c>
      <c r="L363">
        <v>27</v>
      </c>
      <c r="M363" t="str">
        <f t="shared" si="5"/>
        <v>Adolescent 0-30</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 31-54</v>
      </c>
      <c r="N364" t="s">
        <v>15</v>
      </c>
    </row>
    <row r="365" spans="1:14" x14ac:dyDescent="0.35">
      <c r="A365">
        <v>23571</v>
      </c>
      <c r="B365" t="s">
        <v>36</v>
      </c>
      <c r="C365" t="s">
        <v>38</v>
      </c>
      <c r="D365" s="1">
        <v>40000</v>
      </c>
      <c r="E365">
        <v>2</v>
      </c>
      <c r="F365" t="s">
        <v>13</v>
      </c>
      <c r="G365" t="s">
        <v>28</v>
      </c>
      <c r="H365" t="s">
        <v>15</v>
      </c>
      <c r="I365">
        <v>2</v>
      </c>
      <c r="J365" t="s">
        <v>16</v>
      </c>
      <c r="K365" t="s">
        <v>24</v>
      </c>
      <c r="L365">
        <v>66</v>
      </c>
      <c r="M365" t="str">
        <f t="shared" si="5"/>
        <v>Old 55+</v>
      </c>
      <c r="N365" t="s">
        <v>15</v>
      </c>
    </row>
    <row r="366" spans="1:14" x14ac:dyDescent="0.35">
      <c r="A366">
        <v>19305</v>
      </c>
      <c r="B366" t="s">
        <v>37</v>
      </c>
      <c r="C366" t="s">
        <v>38</v>
      </c>
      <c r="D366" s="1">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37</v>
      </c>
      <c r="C367" t="s">
        <v>38</v>
      </c>
      <c r="D367" s="1">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36</v>
      </c>
      <c r="C369" t="s">
        <v>38</v>
      </c>
      <c r="D369" s="1">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37</v>
      </c>
      <c r="C370" t="s">
        <v>38</v>
      </c>
      <c r="D370" s="1">
        <v>30000</v>
      </c>
      <c r="E370">
        <v>2</v>
      </c>
      <c r="F370" t="s">
        <v>19</v>
      </c>
      <c r="G370" t="s">
        <v>20</v>
      </c>
      <c r="H370" t="s">
        <v>18</v>
      </c>
      <c r="I370">
        <v>2</v>
      </c>
      <c r="J370" t="s">
        <v>23</v>
      </c>
      <c r="K370" t="s">
        <v>24</v>
      </c>
      <c r="L370">
        <v>60</v>
      </c>
      <c r="M370" t="str">
        <f t="shared" si="5"/>
        <v>Old 55+</v>
      </c>
      <c r="N370" t="s">
        <v>15</v>
      </c>
    </row>
    <row r="371" spans="1:14" x14ac:dyDescent="0.35">
      <c r="A371">
        <v>25752</v>
      </c>
      <c r="B371" t="s">
        <v>37</v>
      </c>
      <c r="C371" t="s">
        <v>38</v>
      </c>
      <c r="D371" s="1">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36</v>
      </c>
      <c r="C372" t="s">
        <v>38</v>
      </c>
      <c r="D372" s="1">
        <v>100000</v>
      </c>
      <c r="E372">
        <v>4</v>
      </c>
      <c r="F372" t="s">
        <v>13</v>
      </c>
      <c r="G372" t="s">
        <v>21</v>
      </c>
      <c r="H372" t="s">
        <v>15</v>
      </c>
      <c r="I372">
        <v>1</v>
      </c>
      <c r="J372" t="s">
        <v>46</v>
      </c>
      <c r="K372" t="s">
        <v>24</v>
      </c>
      <c r="L372">
        <v>46</v>
      </c>
      <c r="M372" t="str">
        <f t="shared" si="5"/>
        <v>Middle age 31-54</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Adolescent 0-30</v>
      </c>
      <c r="N375" t="s">
        <v>18</v>
      </c>
    </row>
    <row r="376" spans="1:14" x14ac:dyDescent="0.35">
      <c r="A376">
        <v>16179</v>
      </c>
      <c r="B376" t="s">
        <v>37</v>
      </c>
      <c r="C376" t="s">
        <v>38</v>
      </c>
      <c r="D376" s="1">
        <v>80000</v>
      </c>
      <c r="E376">
        <v>5</v>
      </c>
      <c r="F376" t="s">
        <v>13</v>
      </c>
      <c r="G376" t="s">
        <v>21</v>
      </c>
      <c r="H376" t="s">
        <v>15</v>
      </c>
      <c r="I376">
        <v>4</v>
      </c>
      <c r="J376" t="s">
        <v>26</v>
      </c>
      <c r="K376" t="s">
        <v>24</v>
      </c>
      <c r="L376">
        <v>38</v>
      </c>
      <c r="M376" t="str">
        <f t="shared" si="5"/>
        <v>Middle age 31-54</v>
      </c>
      <c r="N376" t="s">
        <v>18</v>
      </c>
    </row>
    <row r="377" spans="1:14" x14ac:dyDescent="0.35">
      <c r="A377">
        <v>15628</v>
      </c>
      <c r="B377" t="s">
        <v>36</v>
      </c>
      <c r="C377" t="s">
        <v>38</v>
      </c>
      <c r="D377" s="1">
        <v>40000</v>
      </c>
      <c r="E377">
        <v>1</v>
      </c>
      <c r="F377" t="s">
        <v>13</v>
      </c>
      <c r="G377" t="s">
        <v>14</v>
      </c>
      <c r="H377" t="s">
        <v>15</v>
      </c>
      <c r="I377">
        <v>1</v>
      </c>
      <c r="J377" t="s">
        <v>16</v>
      </c>
      <c r="K377" t="s">
        <v>17</v>
      </c>
      <c r="L377">
        <v>89</v>
      </c>
      <c r="M377" t="str">
        <f t="shared" si="5"/>
        <v>Old 55+</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 55+</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 55+</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37</v>
      </c>
      <c r="C382" t="s">
        <v>39</v>
      </c>
      <c r="D382" s="1">
        <v>70000</v>
      </c>
      <c r="E382">
        <v>0</v>
      </c>
      <c r="F382" t="s">
        <v>13</v>
      </c>
      <c r="G382" t="s">
        <v>21</v>
      </c>
      <c r="H382" t="s">
        <v>18</v>
      </c>
      <c r="I382">
        <v>3</v>
      </c>
      <c r="J382" t="s">
        <v>46</v>
      </c>
      <c r="K382" t="s">
        <v>24</v>
      </c>
      <c r="L382">
        <v>30</v>
      </c>
      <c r="M382" t="str">
        <f t="shared" si="5"/>
        <v>Adolescent 0-30</v>
      </c>
      <c r="N382" t="s">
        <v>15</v>
      </c>
    </row>
    <row r="383" spans="1:14" x14ac:dyDescent="0.35">
      <c r="A383">
        <v>22974</v>
      </c>
      <c r="B383" t="s">
        <v>36</v>
      </c>
      <c r="C383" t="s">
        <v>38</v>
      </c>
      <c r="D383" s="1">
        <v>30000</v>
      </c>
      <c r="E383">
        <v>2</v>
      </c>
      <c r="F383" t="s">
        <v>19</v>
      </c>
      <c r="G383" t="s">
        <v>20</v>
      </c>
      <c r="H383" t="s">
        <v>15</v>
      </c>
      <c r="I383">
        <v>2</v>
      </c>
      <c r="J383" t="s">
        <v>23</v>
      </c>
      <c r="K383" t="s">
        <v>24</v>
      </c>
      <c r="L383">
        <v>69</v>
      </c>
      <c r="M383" t="str">
        <f t="shared" si="5"/>
        <v>Old 55+</v>
      </c>
      <c r="N383" t="s">
        <v>18</v>
      </c>
    </row>
    <row r="384" spans="1:14" x14ac:dyDescent="0.35">
      <c r="A384">
        <v>13586</v>
      </c>
      <c r="B384" t="s">
        <v>36</v>
      </c>
      <c r="C384" t="s">
        <v>39</v>
      </c>
      <c r="D384" s="1">
        <v>80000</v>
      </c>
      <c r="E384">
        <v>4</v>
      </c>
      <c r="F384" t="s">
        <v>19</v>
      </c>
      <c r="G384" t="s">
        <v>21</v>
      </c>
      <c r="H384" t="s">
        <v>15</v>
      </c>
      <c r="I384">
        <v>2</v>
      </c>
      <c r="J384" t="s">
        <v>46</v>
      </c>
      <c r="K384" t="s">
        <v>17</v>
      </c>
      <c r="L384">
        <v>53</v>
      </c>
      <c r="M384" t="str">
        <f t="shared" si="5"/>
        <v>Middle age 31-54</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37</v>
      </c>
      <c r="C386" t="s">
        <v>38</v>
      </c>
      <c r="D386" s="1">
        <v>10000</v>
      </c>
      <c r="E386">
        <v>0</v>
      </c>
      <c r="F386" t="s">
        <v>19</v>
      </c>
      <c r="G386" t="s">
        <v>25</v>
      </c>
      <c r="H386" t="s">
        <v>18</v>
      </c>
      <c r="I386">
        <v>1</v>
      </c>
      <c r="J386" t="s">
        <v>16</v>
      </c>
      <c r="K386" t="s">
        <v>24</v>
      </c>
      <c r="L386">
        <v>28</v>
      </c>
      <c r="M386" t="str">
        <f t="shared" si="5"/>
        <v>Adolescent 0-30</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5">
      <c r="A388">
        <v>28957</v>
      </c>
      <c r="B388" t="s">
        <v>37</v>
      </c>
      <c r="C388" t="s">
        <v>38</v>
      </c>
      <c r="D388" s="1">
        <v>120000</v>
      </c>
      <c r="E388">
        <v>0</v>
      </c>
      <c r="F388" t="s">
        <v>29</v>
      </c>
      <c r="G388" t="s">
        <v>21</v>
      </c>
      <c r="H388" t="s">
        <v>15</v>
      </c>
      <c r="I388">
        <v>4</v>
      </c>
      <c r="J388" t="s">
        <v>46</v>
      </c>
      <c r="K388" t="s">
        <v>24</v>
      </c>
      <c r="L388">
        <v>34</v>
      </c>
      <c r="M388" t="str">
        <f t="shared" si="6"/>
        <v>Middle age 31-54</v>
      </c>
      <c r="N388" t="s">
        <v>15</v>
      </c>
    </row>
    <row r="389" spans="1:14" x14ac:dyDescent="0.35">
      <c r="A389">
        <v>13690</v>
      </c>
      <c r="B389" t="s">
        <v>37</v>
      </c>
      <c r="C389" t="s">
        <v>38</v>
      </c>
      <c r="D389" s="1">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36</v>
      </c>
      <c r="C390" t="s">
        <v>38</v>
      </c>
      <c r="D390" s="1">
        <v>30000</v>
      </c>
      <c r="E390">
        <v>1</v>
      </c>
      <c r="F390" t="s">
        <v>13</v>
      </c>
      <c r="G390" t="s">
        <v>20</v>
      </c>
      <c r="H390" t="s">
        <v>15</v>
      </c>
      <c r="I390">
        <v>0</v>
      </c>
      <c r="J390" t="s">
        <v>16</v>
      </c>
      <c r="K390" t="s">
        <v>17</v>
      </c>
      <c r="L390">
        <v>64</v>
      </c>
      <c r="M390" t="str">
        <f t="shared" si="6"/>
        <v>Old 55+</v>
      </c>
      <c r="N390" t="s">
        <v>18</v>
      </c>
    </row>
    <row r="391" spans="1:14" x14ac:dyDescent="0.35">
      <c r="A391">
        <v>13122</v>
      </c>
      <c r="B391" t="s">
        <v>36</v>
      </c>
      <c r="C391" t="s">
        <v>38</v>
      </c>
      <c r="D391" s="1">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37</v>
      </c>
      <c r="C393" t="s">
        <v>38</v>
      </c>
      <c r="D393" s="1">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36</v>
      </c>
      <c r="C395" t="s">
        <v>38</v>
      </c>
      <c r="D395" s="1">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36</v>
      </c>
      <c r="C396" t="s">
        <v>38</v>
      </c>
      <c r="D396" s="1">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36</v>
      </c>
      <c r="C399" t="s">
        <v>38</v>
      </c>
      <c r="D399" s="1">
        <v>10000</v>
      </c>
      <c r="E399">
        <v>2</v>
      </c>
      <c r="F399" t="s">
        <v>29</v>
      </c>
      <c r="G399" t="s">
        <v>20</v>
      </c>
      <c r="H399" t="s">
        <v>15</v>
      </c>
      <c r="I399">
        <v>2</v>
      </c>
      <c r="J399" t="s">
        <v>23</v>
      </c>
      <c r="K399" t="s">
        <v>24</v>
      </c>
      <c r="L399">
        <v>58</v>
      </c>
      <c r="M399" t="str">
        <f t="shared" si="6"/>
        <v>Old 55+</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37</v>
      </c>
      <c r="C401" t="s">
        <v>38</v>
      </c>
      <c r="D401" s="1">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37</v>
      </c>
      <c r="C402" t="s">
        <v>38</v>
      </c>
      <c r="D402" s="1">
        <v>110000</v>
      </c>
      <c r="E402">
        <v>3</v>
      </c>
      <c r="F402" t="s">
        <v>13</v>
      </c>
      <c r="G402" t="s">
        <v>28</v>
      </c>
      <c r="H402" t="s">
        <v>15</v>
      </c>
      <c r="I402">
        <v>4</v>
      </c>
      <c r="J402" t="s">
        <v>46</v>
      </c>
      <c r="K402" t="s">
        <v>17</v>
      </c>
      <c r="L402">
        <v>53</v>
      </c>
      <c r="M402" t="str">
        <f t="shared" si="6"/>
        <v>Middle age 31-54</v>
      </c>
      <c r="N402" t="s">
        <v>18</v>
      </c>
    </row>
    <row r="403" spans="1:14" x14ac:dyDescent="0.35">
      <c r="A403">
        <v>11555</v>
      </c>
      <c r="B403" t="s">
        <v>36</v>
      </c>
      <c r="C403" t="s">
        <v>38</v>
      </c>
      <c r="D403" s="1">
        <v>40000</v>
      </c>
      <c r="E403">
        <v>1</v>
      </c>
      <c r="F403" t="s">
        <v>13</v>
      </c>
      <c r="G403" t="s">
        <v>20</v>
      </c>
      <c r="H403" t="s">
        <v>15</v>
      </c>
      <c r="I403">
        <v>0</v>
      </c>
      <c r="J403" t="s">
        <v>16</v>
      </c>
      <c r="K403" t="s">
        <v>17</v>
      </c>
      <c r="L403">
        <v>80</v>
      </c>
      <c r="M403" t="str">
        <f t="shared" si="6"/>
        <v>Old 55+</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36</v>
      </c>
      <c r="C407" t="s">
        <v>38</v>
      </c>
      <c r="D407" s="1">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36</v>
      </c>
      <c r="C408" t="s">
        <v>38</v>
      </c>
      <c r="D408" s="1">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37</v>
      </c>
      <c r="C409" t="s">
        <v>38</v>
      </c>
      <c r="D409" s="1">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37</v>
      </c>
      <c r="C410" t="s">
        <v>38</v>
      </c>
      <c r="D410" s="1">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36</v>
      </c>
      <c r="C411" t="s">
        <v>38</v>
      </c>
      <c r="D411" s="1">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36</v>
      </c>
      <c r="C412" t="s">
        <v>38</v>
      </c>
      <c r="D412" s="1">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37</v>
      </c>
      <c r="C415" t="s">
        <v>38</v>
      </c>
      <c r="D415" s="1">
        <v>30000</v>
      </c>
      <c r="E415">
        <v>2</v>
      </c>
      <c r="F415" t="s">
        <v>19</v>
      </c>
      <c r="G415" t="s">
        <v>20</v>
      </c>
      <c r="H415" t="s">
        <v>18</v>
      </c>
      <c r="I415">
        <v>2</v>
      </c>
      <c r="J415" t="s">
        <v>23</v>
      </c>
      <c r="K415" t="s">
        <v>24</v>
      </c>
      <c r="L415">
        <v>67</v>
      </c>
      <c r="M415" t="str">
        <f t="shared" si="6"/>
        <v>Old 55+</v>
      </c>
      <c r="N415" t="s">
        <v>18</v>
      </c>
    </row>
    <row r="416" spans="1:14" x14ac:dyDescent="0.35">
      <c r="A416">
        <v>17960</v>
      </c>
      <c r="B416" t="s">
        <v>36</v>
      </c>
      <c r="C416" t="s">
        <v>38</v>
      </c>
      <c r="D416" s="1">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36</v>
      </c>
      <c r="C417" t="s">
        <v>38</v>
      </c>
      <c r="D417" s="1">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37</v>
      </c>
      <c r="C419" t="s">
        <v>38</v>
      </c>
      <c r="D419" s="1">
        <v>30000</v>
      </c>
      <c r="E419">
        <v>2</v>
      </c>
      <c r="F419" t="s">
        <v>19</v>
      </c>
      <c r="G419" t="s">
        <v>20</v>
      </c>
      <c r="H419" t="s">
        <v>18</v>
      </c>
      <c r="I419">
        <v>2</v>
      </c>
      <c r="J419" t="s">
        <v>23</v>
      </c>
      <c r="K419" t="s">
        <v>24</v>
      </c>
      <c r="L419">
        <v>67</v>
      </c>
      <c r="M419" t="str">
        <f t="shared" si="6"/>
        <v>Old 55+</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36</v>
      </c>
      <c r="C422" t="s">
        <v>38</v>
      </c>
      <c r="D422" s="1">
        <v>100000</v>
      </c>
      <c r="E422">
        <v>2</v>
      </c>
      <c r="F422" t="s">
        <v>13</v>
      </c>
      <c r="G422" t="s">
        <v>28</v>
      </c>
      <c r="H422" t="s">
        <v>15</v>
      </c>
      <c r="I422">
        <v>4</v>
      </c>
      <c r="J422" t="s">
        <v>46</v>
      </c>
      <c r="K422" t="s">
        <v>17</v>
      </c>
      <c r="L422">
        <v>59</v>
      </c>
      <c r="M422" t="str">
        <f t="shared" si="6"/>
        <v>Old 55+</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37</v>
      </c>
      <c r="C424" t="s">
        <v>39</v>
      </c>
      <c r="D424" s="1">
        <v>110000</v>
      </c>
      <c r="E424">
        <v>0</v>
      </c>
      <c r="F424" t="s">
        <v>19</v>
      </c>
      <c r="G424" t="s">
        <v>28</v>
      </c>
      <c r="H424" t="s">
        <v>18</v>
      </c>
      <c r="I424">
        <v>3</v>
      </c>
      <c r="J424" t="s">
        <v>46</v>
      </c>
      <c r="K424" t="s">
        <v>24</v>
      </c>
      <c r="L424">
        <v>32</v>
      </c>
      <c r="M424" t="str">
        <f t="shared" si="6"/>
        <v>Middle age 31-54</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37</v>
      </c>
      <c r="C426" t="s">
        <v>38</v>
      </c>
      <c r="D426" s="1">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 55+</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Adolescent 0-30</v>
      </c>
      <c r="N428" t="s">
        <v>18</v>
      </c>
    </row>
    <row r="429" spans="1:14" x14ac:dyDescent="0.35">
      <c r="A429">
        <v>17048</v>
      </c>
      <c r="B429" t="s">
        <v>37</v>
      </c>
      <c r="C429" t="s">
        <v>38</v>
      </c>
      <c r="D429" s="1">
        <v>90000</v>
      </c>
      <c r="E429">
        <v>1</v>
      </c>
      <c r="F429" t="s">
        <v>31</v>
      </c>
      <c r="G429" t="s">
        <v>28</v>
      </c>
      <c r="H429" t="s">
        <v>15</v>
      </c>
      <c r="I429">
        <v>0</v>
      </c>
      <c r="J429" t="s">
        <v>16</v>
      </c>
      <c r="K429" t="s">
        <v>24</v>
      </c>
      <c r="L429">
        <v>36</v>
      </c>
      <c r="M429" t="str">
        <f t="shared" si="6"/>
        <v>Middle age 31-54</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37</v>
      </c>
      <c r="C431" t="s">
        <v>38</v>
      </c>
      <c r="D431" s="1">
        <v>30000</v>
      </c>
      <c r="E431">
        <v>0</v>
      </c>
      <c r="F431" t="s">
        <v>19</v>
      </c>
      <c r="G431" t="s">
        <v>20</v>
      </c>
      <c r="H431" t="s">
        <v>15</v>
      </c>
      <c r="I431">
        <v>1</v>
      </c>
      <c r="J431" t="s">
        <v>22</v>
      </c>
      <c r="K431" t="s">
        <v>17</v>
      </c>
      <c r="L431">
        <v>31</v>
      </c>
      <c r="M431" t="str">
        <f t="shared" si="6"/>
        <v>Middle age 31-54</v>
      </c>
      <c r="N431" t="s">
        <v>18</v>
      </c>
    </row>
    <row r="432" spans="1:14" x14ac:dyDescent="0.35">
      <c r="A432">
        <v>15019</v>
      </c>
      <c r="B432" t="s">
        <v>37</v>
      </c>
      <c r="C432" t="s">
        <v>38</v>
      </c>
      <c r="D432" s="1">
        <v>30000</v>
      </c>
      <c r="E432">
        <v>3</v>
      </c>
      <c r="F432" t="s">
        <v>27</v>
      </c>
      <c r="G432" t="s">
        <v>14</v>
      </c>
      <c r="H432" t="s">
        <v>15</v>
      </c>
      <c r="I432">
        <v>2</v>
      </c>
      <c r="J432" t="s">
        <v>23</v>
      </c>
      <c r="K432" t="s">
        <v>24</v>
      </c>
      <c r="L432">
        <v>55</v>
      </c>
      <c r="M432" t="str">
        <f t="shared" si="6"/>
        <v>Old 55+</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Adolescent 0-30</v>
      </c>
      <c r="N433" t="s">
        <v>15</v>
      </c>
    </row>
    <row r="434" spans="1:14" x14ac:dyDescent="0.35">
      <c r="A434">
        <v>21891</v>
      </c>
      <c r="B434" t="s">
        <v>36</v>
      </c>
      <c r="C434" t="s">
        <v>38</v>
      </c>
      <c r="D434" s="1">
        <v>110000</v>
      </c>
      <c r="E434">
        <v>0</v>
      </c>
      <c r="F434" t="s">
        <v>27</v>
      </c>
      <c r="G434" t="s">
        <v>28</v>
      </c>
      <c r="H434" t="s">
        <v>15</v>
      </c>
      <c r="I434">
        <v>3</v>
      </c>
      <c r="J434" t="s">
        <v>46</v>
      </c>
      <c r="K434" t="s">
        <v>24</v>
      </c>
      <c r="L434">
        <v>34</v>
      </c>
      <c r="M434" t="str">
        <f t="shared" si="6"/>
        <v>Middle age 31-54</v>
      </c>
      <c r="N434" t="s">
        <v>15</v>
      </c>
    </row>
    <row r="435" spans="1:14" x14ac:dyDescent="0.35">
      <c r="A435">
        <v>27814</v>
      </c>
      <c r="B435" t="s">
        <v>37</v>
      </c>
      <c r="C435" t="s">
        <v>38</v>
      </c>
      <c r="D435" s="1">
        <v>30000</v>
      </c>
      <c r="E435">
        <v>3</v>
      </c>
      <c r="F435" t="s">
        <v>19</v>
      </c>
      <c r="G435" t="s">
        <v>20</v>
      </c>
      <c r="H435" t="s">
        <v>18</v>
      </c>
      <c r="I435">
        <v>1</v>
      </c>
      <c r="J435" t="s">
        <v>16</v>
      </c>
      <c r="K435" t="s">
        <v>17</v>
      </c>
      <c r="L435">
        <v>26</v>
      </c>
      <c r="M435" t="str">
        <f t="shared" si="6"/>
        <v>Adolescent 0-30</v>
      </c>
      <c r="N435" t="s">
        <v>18</v>
      </c>
    </row>
    <row r="436" spans="1:14" x14ac:dyDescent="0.35">
      <c r="A436">
        <v>22175</v>
      </c>
      <c r="B436" t="s">
        <v>36</v>
      </c>
      <c r="C436" t="s">
        <v>38</v>
      </c>
      <c r="D436" s="1">
        <v>30000</v>
      </c>
      <c r="E436">
        <v>3</v>
      </c>
      <c r="F436" t="s">
        <v>27</v>
      </c>
      <c r="G436" t="s">
        <v>14</v>
      </c>
      <c r="H436" t="s">
        <v>15</v>
      </c>
      <c r="I436">
        <v>2</v>
      </c>
      <c r="J436" t="s">
        <v>23</v>
      </c>
      <c r="K436" t="s">
        <v>24</v>
      </c>
      <c r="L436">
        <v>53</v>
      </c>
      <c r="M436" t="str">
        <f t="shared" si="6"/>
        <v>Middle age 31-54</v>
      </c>
      <c r="N436" t="s">
        <v>15</v>
      </c>
    </row>
    <row r="437" spans="1:14" x14ac:dyDescent="0.35">
      <c r="A437">
        <v>29447</v>
      </c>
      <c r="B437" t="s">
        <v>37</v>
      </c>
      <c r="C437" t="s">
        <v>38</v>
      </c>
      <c r="D437" s="1">
        <v>10000</v>
      </c>
      <c r="E437">
        <v>2</v>
      </c>
      <c r="F437" t="s">
        <v>13</v>
      </c>
      <c r="G437" t="s">
        <v>20</v>
      </c>
      <c r="H437" t="s">
        <v>18</v>
      </c>
      <c r="I437">
        <v>1</v>
      </c>
      <c r="J437" t="s">
        <v>22</v>
      </c>
      <c r="K437" t="s">
        <v>17</v>
      </c>
      <c r="L437">
        <v>68</v>
      </c>
      <c r="M437" t="str">
        <f t="shared" si="6"/>
        <v>Old 55+</v>
      </c>
      <c r="N437" t="s">
        <v>18</v>
      </c>
    </row>
    <row r="438" spans="1:14" x14ac:dyDescent="0.35">
      <c r="A438">
        <v>19784</v>
      </c>
      <c r="B438" t="s">
        <v>36</v>
      </c>
      <c r="C438" t="s">
        <v>38</v>
      </c>
      <c r="D438" s="1">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37</v>
      </c>
      <c r="C439" t="s">
        <v>38</v>
      </c>
      <c r="D439" s="1">
        <v>30000</v>
      </c>
      <c r="E439">
        <v>3</v>
      </c>
      <c r="F439" t="s">
        <v>19</v>
      </c>
      <c r="G439" t="s">
        <v>20</v>
      </c>
      <c r="H439" t="s">
        <v>15</v>
      </c>
      <c r="I439">
        <v>2</v>
      </c>
      <c r="J439" t="s">
        <v>16</v>
      </c>
      <c r="K439" t="s">
        <v>17</v>
      </c>
      <c r="L439">
        <v>28</v>
      </c>
      <c r="M439" t="str">
        <f t="shared" si="6"/>
        <v>Adolescent 0-30</v>
      </c>
      <c r="N439" t="s">
        <v>15</v>
      </c>
    </row>
    <row r="440" spans="1:14" x14ac:dyDescent="0.35">
      <c r="A440">
        <v>24093</v>
      </c>
      <c r="B440" t="s">
        <v>37</v>
      </c>
      <c r="C440" t="s">
        <v>38</v>
      </c>
      <c r="D440" s="1">
        <v>80000</v>
      </c>
      <c r="E440">
        <v>0</v>
      </c>
      <c r="F440" t="s">
        <v>31</v>
      </c>
      <c r="G440" t="s">
        <v>14</v>
      </c>
      <c r="H440" t="s">
        <v>18</v>
      </c>
      <c r="I440">
        <v>0</v>
      </c>
      <c r="J440" t="s">
        <v>16</v>
      </c>
      <c r="K440" t="s">
        <v>17</v>
      </c>
      <c r="L440">
        <v>40</v>
      </c>
      <c r="M440" t="str">
        <f t="shared" si="6"/>
        <v>Middle age 31-54</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37</v>
      </c>
      <c r="C442" t="s">
        <v>39</v>
      </c>
      <c r="D442" s="1">
        <v>90000</v>
      </c>
      <c r="E442">
        <v>0</v>
      </c>
      <c r="F442" t="s">
        <v>13</v>
      </c>
      <c r="G442" t="s">
        <v>21</v>
      </c>
      <c r="H442" t="s">
        <v>18</v>
      </c>
      <c r="I442">
        <v>3</v>
      </c>
      <c r="J442" t="s">
        <v>46</v>
      </c>
      <c r="K442" t="s">
        <v>24</v>
      </c>
      <c r="L442">
        <v>34</v>
      </c>
      <c r="M442" t="str">
        <f t="shared" si="6"/>
        <v>Middle age 31-54</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36</v>
      </c>
      <c r="C445" t="s">
        <v>38</v>
      </c>
      <c r="D445" s="1">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36</v>
      </c>
      <c r="C447" t="s">
        <v>38</v>
      </c>
      <c r="D447" s="1">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36</v>
      </c>
      <c r="C448" t="s">
        <v>38</v>
      </c>
      <c r="D448" s="1">
        <v>130000</v>
      </c>
      <c r="E448">
        <v>0</v>
      </c>
      <c r="F448" t="s">
        <v>31</v>
      </c>
      <c r="G448" t="s">
        <v>28</v>
      </c>
      <c r="H448" t="s">
        <v>15</v>
      </c>
      <c r="I448">
        <v>1</v>
      </c>
      <c r="J448" t="s">
        <v>46</v>
      </c>
      <c r="K448" t="s">
        <v>24</v>
      </c>
      <c r="L448">
        <v>48</v>
      </c>
      <c r="M448" t="str">
        <f t="shared" si="6"/>
        <v>Middle age 31-54</v>
      </c>
      <c r="N448" t="s">
        <v>18</v>
      </c>
    </row>
    <row r="449" spans="1:14" x14ac:dyDescent="0.35">
      <c r="A449">
        <v>20711</v>
      </c>
      <c r="B449" t="s">
        <v>36</v>
      </c>
      <c r="C449" t="s">
        <v>38</v>
      </c>
      <c r="D449" s="1">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36</v>
      </c>
      <c r="C450" t="s">
        <v>38</v>
      </c>
      <c r="D450" s="1">
        <v>30000</v>
      </c>
      <c r="E450">
        <v>3</v>
      </c>
      <c r="F450" t="s">
        <v>31</v>
      </c>
      <c r="G450" t="s">
        <v>20</v>
      </c>
      <c r="H450" t="s">
        <v>15</v>
      </c>
      <c r="I450">
        <v>0</v>
      </c>
      <c r="J450" t="s">
        <v>16</v>
      </c>
      <c r="K450" t="s">
        <v>17</v>
      </c>
      <c r="L450">
        <v>46</v>
      </c>
      <c r="M450" t="str">
        <f t="shared" si="6"/>
        <v>Middle age 31-54</v>
      </c>
      <c r="N450" t="s">
        <v>18</v>
      </c>
    </row>
    <row r="451" spans="1:14" x14ac:dyDescent="0.35">
      <c r="A451">
        <v>12497</v>
      </c>
      <c r="B451" t="s">
        <v>36</v>
      </c>
      <c r="C451" t="s">
        <v>38</v>
      </c>
      <c r="D451" s="1">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35">
      <c r="A452">
        <v>16559</v>
      </c>
      <c r="B452" t="s">
        <v>37</v>
      </c>
      <c r="C452" t="s">
        <v>38</v>
      </c>
      <c r="D452" s="1">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36</v>
      </c>
      <c r="C453" t="s">
        <v>38</v>
      </c>
      <c r="D453" s="1">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36</v>
      </c>
      <c r="C454" t="s">
        <v>38</v>
      </c>
      <c r="D454" s="1">
        <v>30000</v>
      </c>
      <c r="E454">
        <v>2</v>
      </c>
      <c r="F454" t="s">
        <v>19</v>
      </c>
      <c r="G454" t="s">
        <v>20</v>
      </c>
      <c r="H454" t="s">
        <v>18</v>
      </c>
      <c r="I454">
        <v>2</v>
      </c>
      <c r="J454" t="s">
        <v>16</v>
      </c>
      <c r="K454" t="s">
        <v>24</v>
      </c>
      <c r="L454">
        <v>69</v>
      </c>
      <c r="M454" t="str">
        <f t="shared" si="7"/>
        <v>Old 55+</v>
      </c>
      <c r="N454" t="s">
        <v>18</v>
      </c>
    </row>
    <row r="455" spans="1:14" x14ac:dyDescent="0.35">
      <c r="A455">
        <v>26765</v>
      </c>
      <c r="B455" t="s">
        <v>37</v>
      </c>
      <c r="C455" t="s">
        <v>38</v>
      </c>
      <c r="D455" s="1">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36</v>
      </c>
      <c r="C457" t="s">
        <v>38</v>
      </c>
      <c r="D457" s="1">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36</v>
      </c>
      <c r="C459" t="s">
        <v>38</v>
      </c>
      <c r="D459" s="1">
        <v>20000</v>
      </c>
      <c r="E459">
        <v>1</v>
      </c>
      <c r="F459" t="s">
        <v>19</v>
      </c>
      <c r="G459" t="s">
        <v>25</v>
      </c>
      <c r="H459" t="s">
        <v>15</v>
      </c>
      <c r="I459">
        <v>0</v>
      </c>
      <c r="J459" t="s">
        <v>16</v>
      </c>
      <c r="K459" t="s">
        <v>17</v>
      </c>
      <c r="L459">
        <v>65</v>
      </c>
      <c r="M459" t="str">
        <f t="shared" si="7"/>
        <v>Old 55+</v>
      </c>
      <c r="N459" t="s">
        <v>18</v>
      </c>
    </row>
    <row r="460" spans="1:14" x14ac:dyDescent="0.35">
      <c r="A460">
        <v>21560</v>
      </c>
      <c r="B460" t="s">
        <v>36</v>
      </c>
      <c r="C460" t="s">
        <v>39</v>
      </c>
      <c r="D460" s="1">
        <v>120000</v>
      </c>
      <c r="E460">
        <v>0</v>
      </c>
      <c r="F460" t="s">
        <v>29</v>
      </c>
      <c r="G460" t="s">
        <v>21</v>
      </c>
      <c r="H460" t="s">
        <v>15</v>
      </c>
      <c r="I460">
        <v>4</v>
      </c>
      <c r="J460" t="s">
        <v>46</v>
      </c>
      <c r="K460" t="s">
        <v>24</v>
      </c>
      <c r="L460">
        <v>32</v>
      </c>
      <c r="M460" t="str">
        <f t="shared" si="7"/>
        <v>Middle age 31-54</v>
      </c>
      <c r="N460" t="s">
        <v>15</v>
      </c>
    </row>
    <row r="461" spans="1:14" x14ac:dyDescent="0.35">
      <c r="A461">
        <v>21554</v>
      </c>
      <c r="B461" t="s">
        <v>37</v>
      </c>
      <c r="C461" t="s">
        <v>38</v>
      </c>
      <c r="D461" s="1">
        <v>80000</v>
      </c>
      <c r="E461">
        <v>0</v>
      </c>
      <c r="F461" t="s">
        <v>13</v>
      </c>
      <c r="G461" t="s">
        <v>21</v>
      </c>
      <c r="H461" t="s">
        <v>18</v>
      </c>
      <c r="I461">
        <v>3</v>
      </c>
      <c r="J461" t="s">
        <v>46</v>
      </c>
      <c r="K461" t="s">
        <v>24</v>
      </c>
      <c r="L461">
        <v>33</v>
      </c>
      <c r="M461" t="str">
        <f t="shared" si="7"/>
        <v>Middle age 31-54</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 31-54</v>
      </c>
      <c r="N462" t="s">
        <v>15</v>
      </c>
    </row>
    <row r="463" spans="1:14" x14ac:dyDescent="0.35">
      <c r="A463">
        <v>13089</v>
      </c>
      <c r="B463" t="s">
        <v>36</v>
      </c>
      <c r="C463" t="s">
        <v>38</v>
      </c>
      <c r="D463" s="1">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36</v>
      </c>
      <c r="C464" t="s">
        <v>38</v>
      </c>
      <c r="D464" s="1">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37</v>
      </c>
      <c r="C466" t="s">
        <v>38</v>
      </c>
      <c r="D466" s="1">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 55+</v>
      </c>
      <c r="N467" t="s">
        <v>18</v>
      </c>
    </row>
    <row r="468" spans="1:14" x14ac:dyDescent="0.35">
      <c r="A468">
        <v>16549</v>
      </c>
      <c r="B468" t="s">
        <v>37</v>
      </c>
      <c r="C468" t="s">
        <v>38</v>
      </c>
      <c r="D468" s="1">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36</v>
      </c>
      <c r="C470" t="s">
        <v>38</v>
      </c>
      <c r="D470" s="1">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36</v>
      </c>
      <c r="C471" t="s">
        <v>38</v>
      </c>
      <c r="D471" s="1">
        <v>30000</v>
      </c>
      <c r="E471">
        <v>1</v>
      </c>
      <c r="F471" t="s">
        <v>13</v>
      </c>
      <c r="G471" t="s">
        <v>20</v>
      </c>
      <c r="H471" t="s">
        <v>15</v>
      </c>
      <c r="I471">
        <v>0</v>
      </c>
      <c r="J471" t="s">
        <v>16</v>
      </c>
      <c r="K471" t="s">
        <v>17</v>
      </c>
      <c r="L471">
        <v>65</v>
      </c>
      <c r="M471" t="str">
        <f t="shared" si="7"/>
        <v>Old 55+</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Adolescent 0-30</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 31-54</v>
      </c>
      <c r="N473" t="s">
        <v>15</v>
      </c>
    </row>
    <row r="474" spans="1:14" x14ac:dyDescent="0.35">
      <c r="A474">
        <v>22634</v>
      </c>
      <c r="B474" t="s">
        <v>37</v>
      </c>
      <c r="C474" t="s">
        <v>38</v>
      </c>
      <c r="D474" s="1">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36</v>
      </c>
      <c r="C475" t="s">
        <v>38</v>
      </c>
      <c r="D475" s="1">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36</v>
      </c>
      <c r="C476" t="s">
        <v>38</v>
      </c>
      <c r="D476" s="1">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 55+</v>
      </c>
      <c r="N477" t="s">
        <v>18</v>
      </c>
    </row>
    <row r="478" spans="1:14" x14ac:dyDescent="0.35">
      <c r="A478">
        <v>21974</v>
      </c>
      <c r="B478" t="s">
        <v>37</v>
      </c>
      <c r="C478" t="s">
        <v>38</v>
      </c>
      <c r="D478" s="1">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36</v>
      </c>
      <c r="C482" t="s">
        <v>38</v>
      </c>
      <c r="D482" s="1">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37</v>
      </c>
      <c r="C483" t="s">
        <v>38</v>
      </c>
      <c r="D483" s="1">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 55+</v>
      </c>
      <c r="N485" t="s">
        <v>18</v>
      </c>
    </row>
    <row r="486" spans="1:14" x14ac:dyDescent="0.35">
      <c r="A486">
        <v>25681</v>
      </c>
      <c r="B486" t="s">
        <v>37</v>
      </c>
      <c r="C486" t="s">
        <v>38</v>
      </c>
      <c r="D486" s="1">
        <v>30000</v>
      </c>
      <c r="E486">
        <v>0</v>
      </c>
      <c r="F486" t="s">
        <v>19</v>
      </c>
      <c r="G486" t="s">
        <v>20</v>
      </c>
      <c r="H486" t="s">
        <v>18</v>
      </c>
      <c r="I486">
        <v>1</v>
      </c>
      <c r="J486" t="s">
        <v>22</v>
      </c>
      <c r="K486" t="s">
        <v>17</v>
      </c>
      <c r="L486">
        <v>31</v>
      </c>
      <c r="M486" t="str">
        <f t="shared" si="7"/>
        <v>Middle age 31-54</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36</v>
      </c>
      <c r="C488" t="s">
        <v>38</v>
      </c>
      <c r="D488" s="1">
        <v>90000</v>
      </c>
      <c r="E488">
        <v>4</v>
      </c>
      <c r="F488" t="s">
        <v>29</v>
      </c>
      <c r="G488" t="s">
        <v>14</v>
      </c>
      <c r="H488" t="s">
        <v>15</v>
      </c>
      <c r="I488">
        <v>4</v>
      </c>
      <c r="J488" t="s">
        <v>46</v>
      </c>
      <c r="K488" t="s">
        <v>17</v>
      </c>
      <c r="L488">
        <v>58</v>
      </c>
      <c r="M488" t="str">
        <f t="shared" si="7"/>
        <v>Old 55+</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37</v>
      </c>
      <c r="C490" t="s">
        <v>38</v>
      </c>
      <c r="D490" s="1">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37</v>
      </c>
      <c r="C494" t="s">
        <v>38</v>
      </c>
      <c r="D494" s="1">
        <v>40000</v>
      </c>
      <c r="E494">
        <v>3</v>
      </c>
      <c r="F494" t="s">
        <v>19</v>
      </c>
      <c r="G494" t="s">
        <v>20</v>
      </c>
      <c r="H494" t="s">
        <v>15</v>
      </c>
      <c r="I494">
        <v>1</v>
      </c>
      <c r="J494" t="s">
        <v>26</v>
      </c>
      <c r="K494" t="s">
        <v>32</v>
      </c>
      <c r="L494">
        <v>31</v>
      </c>
      <c r="M494" t="str">
        <f t="shared" si="7"/>
        <v>Middle age 31-54</v>
      </c>
      <c r="N494" t="s">
        <v>15</v>
      </c>
    </row>
    <row r="495" spans="1:14" x14ac:dyDescent="0.35">
      <c r="A495">
        <v>23707</v>
      </c>
      <c r="B495" t="s">
        <v>37</v>
      </c>
      <c r="C495" t="s">
        <v>39</v>
      </c>
      <c r="D495" s="1">
        <v>70000</v>
      </c>
      <c r="E495">
        <v>5</v>
      </c>
      <c r="F495" t="s">
        <v>13</v>
      </c>
      <c r="G495" t="s">
        <v>28</v>
      </c>
      <c r="H495" t="s">
        <v>15</v>
      </c>
      <c r="I495">
        <v>3</v>
      </c>
      <c r="J495" t="s">
        <v>46</v>
      </c>
      <c r="K495" t="s">
        <v>32</v>
      </c>
      <c r="L495">
        <v>60</v>
      </c>
      <c r="M495" t="str">
        <f t="shared" si="7"/>
        <v>Old 55+</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36</v>
      </c>
      <c r="C497" t="s">
        <v>39</v>
      </c>
      <c r="D497" s="1">
        <v>60000</v>
      </c>
      <c r="E497">
        <v>2</v>
      </c>
      <c r="F497" t="s">
        <v>19</v>
      </c>
      <c r="G497" t="s">
        <v>21</v>
      </c>
      <c r="H497" t="s">
        <v>15</v>
      </c>
      <c r="I497">
        <v>2</v>
      </c>
      <c r="J497" t="s">
        <v>46</v>
      </c>
      <c r="K497" t="s">
        <v>32</v>
      </c>
      <c r="L497">
        <v>56</v>
      </c>
      <c r="M497" t="str">
        <f t="shared" si="7"/>
        <v>Old 55+</v>
      </c>
      <c r="N497" t="s">
        <v>18</v>
      </c>
    </row>
    <row r="498" spans="1:14" x14ac:dyDescent="0.35">
      <c r="A498">
        <v>20678</v>
      </c>
      <c r="B498" t="s">
        <v>37</v>
      </c>
      <c r="C498" t="s">
        <v>38</v>
      </c>
      <c r="D498" s="1">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37</v>
      </c>
      <c r="C499" t="s">
        <v>38</v>
      </c>
      <c r="D499" s="1">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37</v>
      </c>
      <c r="C501" t="s">
        <v>38</v>
      </c>
      <c r="D501" s="1">
        <v>40000</v>
      </c>
      <c r="E501">
        <v>0</v>
      </c>
      <c r="F501" t="s">
        <v>27</v>
      </c>
      <c r="G501" t="s">
        <v>14</v>
      </c>
      <c r="H501" t="s">
        <v>18</v>
      </c>
      <c r="I501">
        <v>2</v>
      </c>
      <c r="J501" t="s">
        <v>26</v>
      </c>
      <c r="K501" t="s">
        <v>32</v>
      </c>
      <c r="L501">
        <v>31</v>
      </c>
      <c r="M501" t="str">
        <f t="shared" si="7"/>
        <v>Middle age 31-54</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36</v>
      </c>
      <c r="C503" t="s">
        <v>38</v>
      </c>
      <c r="D503" s="1">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Adolescent 0-30</v>
      </c>
      <c r="N504" t="s">
        <v>18</v>
      </c>
    </row>
    <row r="505" spans="1:14" x14ac:dyDescent="0.35">
      <c r="A505">
        <v>20339</v>
      </c>
      <c r="B505" t="s">
        <v>36</v>
      </c>
      <c r="C505" t="s">
        <v>38</v>
      </c>
      <c r="D505" s="1">
        <v>130000</v>
      </c>
      <c r="E505">
        <v>1</v>
      </c>
      <c r="F505" t="s">
        <v>13</v>
      </c>
      <c r="G505" t="s">
        <v>28</v>
      </c>
      <c r="H505" t="s">
        <v>15</v>
      </c>
      <c r="I505">
        <v>4</v>
      </c>
      <c r="J505" t="s">
        <v>22</v>
      </c>
      <c r="K505" t="s">
        <v>32</v>
      </c>
      <c r="L505">
        <v>44</v>
      </c>
      <c r="M505" t="str">
        <f t="shared" si="7"/>
        <v>Middle age 31-54</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36</v>
      </c>
      <c r="C508" t="s">
        <v>38</v>
      </c>
      <c r="D508" s="1">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36</v>
      </c>
      <c r="C509" t="s">
        <v>38</v>
      </c>
      <c r="D509" s="1">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Adolescent 0-30</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 31-54</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 55+</v>
      </c>
      <c r="N513" t="s">
        <v>15</v>
      </c>
    </row>
    <row r="514" spans="1:14" x14ac:dyDescent="0.35">
      <c r="A514">
        <v>18052</v>
      </c>
      <c r="B514" t="s">
        <v>36</v>
      </c>
      <c r="C514" t="s">
        <v>38</v>
      </c>
      <c r="D514" s="1">
        <v>60000</v>
      </c>
      <c r="E514">
        <v>1</v>
      </c>
      <c r="F514" t="s">
        <v>19</v>
      </c>
      <c r="G514" t="s">
        <v>14</v>
      </c>
      <c r="H514" t="s">
        <v>15</v>
      </c>
      <c r="I514">
        <v>1</v>
      </c>
      <c r="J514" t="s">
        <v>16</v>
      </c>
      <c r="K514" t="s">
        <v>32</v>
      </c>
      <c r="L514">
        <v>45</v>
      </c>
      <c r="M514" t="str">
        <f t="shared" si="7"/>
        <v>Middle age 31-54</v>
      </c>
      <c r="N514" t="s">
        <v>15</v>
      </c>
    </row>
    <row r="515" spans="1:14" x14ac:dyDescent="0.35">
      <c r="A515">
        <v>13353</v>
      </c>
      <c r="B515" t="s">
        <v>37</v>
      </c>
      <c r="C515" t="s">
        <v>38</v>
      </c>
      <c r="D515" s="1">
        <v>60000</v>
      </c>
      <c r="E515">
        <v>4</v>
      </c>
      <c r="F515" t="s">
        <v>31</v>
      </c>
      <c r="G515" t="s">
        <v>28</v>
      </c>
      <c r="H515" t="s">
        <v>15</v>
      </c>
      <c r="I515">
        <v>2</v>
      </c>
      <c r="J515" t="s">
        <v>46</v>
      </c>
      <c r="K515" t="s">
        <v>32</v>
      </c>
      <c r="L515">
        <v>61</v>
      </c>
      <c r="M515" t="str">
        <f t="shared" ref="M515:M578" si="8">IF(L515&gt;54,"Old 55+",IF(L515&gt;=31,"Middle age 31-54",IF(L515&lt;31,"Adolescent 0-30","Invalid")))</f>
        <v>Old 55+</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36</v>
      </c>
      <c r="C517" t="s">
        <v>38</v>
      </c>
      <c r="D517" s="1">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36</v>
      </c>
      <c r="C518" t="s">
        <v>38</v>
      </c>
      <c r="D518" s="1">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36</v>
      </c>
      <c r="C520" t="s">
        <v>38</v>
      </c>
      <c r="D520" s="1">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 55+</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37</v>
      </c>
      <c r="C523" t="s">
        <v>39</v>
      </c>
      <c r="D523" s="1">
        <v>40000</v>
      </c>
      <c r="E523">
        <v>4</v>
      </c>
      <c r="F523" t="s">
        <v>27</v>
      </c>
      <c r="G523" t="s">
        <v>21</v>
      </c>
      <c r="H523" t="s">
        <v>15</v>
      </c>
      <c r="I523">
        <v>2</v>
      </c>
      <c r="J523" t="s">
        <v>46</v>
      </c>
      <c r="K523" t="s">
        <v>32</v>
      </c>
      <c r="L523">
        <v>62</v>
      </c>
      <c r="M523" t="str">
        <f t="shared" si="8"/>
        <v>Old 55+</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37</v>
      </c>
      <c r="C526" t="s">
        <v>38</v>
      </c>
      <c r="D526" s="1">
        <v>80000</v>
      </c>
      <c r="E526">
        <v>4</v>
      </c>
      <c r="F526" t="s">
        <v>31</v>
      </c>
      <c r="G526" t="s">
        <v>28</v>
      </c>
      <c r="H526" t="s">
        <v>15</v>
      </c>
      <c r="I526">
        <v>2</v>
      </c>
      <c r="J526" t="s">
        <v>23</v>
      </c>
      <c r="K526" t="s">
        <v>32</v>
      </c>
      <c r="L526">
        <v>67</v>
      </c>
      <c r="M526" t="str">
        <f t="shared" si="8"/>
        <v>Old 55+</v>
      </c>
      <c r="N526" t="s">
        <v>18</v>
      </c>
    </row>
    <row r="527" spans="1:14" x14ac:dyDescent="0.35">
      <c r="A527">
        <v>16791</v>
      </c>
      <c r="B527" t="s">
        <v>37</v>
      </c>
      <c r="C527" t="s">
        <v>39</v>
      </c>
      <c r="D527" s="1">
        <v>60000</v>
      </c>
      <c r="E527">
        <v>5</v>
      </c>
      <c r="F527" t="s">
        <v>13</v>
      </c>
      <c r="G527" t="s">
        <v>28</v>
      </c>
      <c r="H527" t="s">
        <v>15</v>
      </c>
      <c r="I527">
        <v>3</v>
      </c>
      <c r="J527" t="s">
        <v>46</v>
      </c>
      <c r="K527" t="s">
        <v>32</v>
      </c>
      <c r="L527">
        <v>59</v>
      </c>
      <c r="M527" t="str">
        <f t="shared" si="8"/>
        <v>Old 55+</v>
      </c>
      <c r="N527" t="s">
        <v>15</v>
      </c>
    </row>
    <row r="528" spans="1:14" x14ac:dyDescent="0.35">
      <c r="A528">
        <v>15382</v>
      </c>
      <c r="B528" t="s">
        <v>36</v>
      </c>
      <c r="C528" t="s">
        <v>38</v>
      </c>
      <c r="D528" s="1">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37</v>
      </c>
      <c r="C530" t="s">
        <v>38</v>
      </c>
      <c r="D530" s="1">
        <v>30000</v>
      </c>
      <c r="E530">
        <v>0</v>
      </c>
      <c r="F530" t="s">
        <v>19</v>
      </c>
      <c r="G530" t="s">
        <v>14</v>
      </c>
      <c r="H530" t="s">
        <v>15</v>
      </c>
      <c r="I530">
        <v>1</v>
      </c>
      <c r="J530" t="s">
        <v>23</v>
      </c>
      <c r="K530" t="s">
        <v>32</v>
      </c>
      <c r="L530">
        <v>28</v>
      </c>
      <c r="M530" t="str">
        <f t="shared" si="8"/>
        <v>Adolescent 0-30</v>
      </c>
      <c r="N530" t="s">
        <v>18</v>
      </c>
    </row>
    <row r="531" spans="1:14" x14ac:dyDescent="0.35">
      <c r="A531">
        <v>13233</v>
      </c>
      <c r="B531" t="s">
        <v>36</v>
      </c>
      <c r="C531" t="s">
        <v>39</v>
      </c>
      <c r="D531" s="1">
        <v>60000</v>
      </c>
      <c r="E531">
        <v>2</v>
      </c>
      <c r="F531" t="s">
        <v>19</v>
      </c>
      <c r="G531" t="s">
        <v>21</v>
      </c>
      <c r="H531" t="s">
        <v>15</v>
      </c>
      <c r="I531">
        <v>1</v>
      </c>
      <c r="J531" t="s">
        <v>46</v>
      </c>
      <c r="K531" t="s">
        <v>32</v>
      </c>
      <c r="L531">
        <v>57</v>
      </c>
      <c r="M531" t="str">
        <f t="shared" si="8"/>
        <v>Old 55+</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Adolescent 0-30</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Adolescent 0-30</v>
      </c>
      <c r="N533" t="s">
        <v>18</v>
      </c>
    </row>
    <row r="534" spans="1:14" x14ac:dyDescent="0.35">
      <c r="A534">
        <v>29143</v>
      </c>
      <c r="B534" t="s">
        <v>37</v>
      </c>
      <c r="C534" t="s">
        <v>38</v>
      </c>
      <c r="D534" s="1">
        <v>60000</v>
      </c>
      <c r="E534">
        <v>1</v>
      </c>
      <c r="F534" t="s">
        <v>13</v>
      </c>
      <c r="G534" t="s">
        <v>21</v>
      </c>
      <c r="H534" t="s">
        <v>18</v>
      </c>
      <c r="I534">
        <v>1</v>
      </c>
      <c r="J534" t="s">
        <v>16</v>
      </c>
      <c r="K534" t="s">
        <v>32</v>
      </c>
      <c r="L534">
        <v>44</v>
      </c>
      <c r="M534" t="str">
        <f t="shared" si="8"/>
        <v>Middle age 31-54</v>
      </c>
      <c r="N534" t="s">
        <v>15</v>
      </c>
    </row>
    <row r="535" spans="1:14" x14ac:dyDescent="0.35">
      <c r="A535">
        <v>24941</v>
      </c>
      <c r="B535" t="s">
        <v>36</v>
      </c>
      <c r="C535" t="s">
        <v>39</v>
      </c>
      <c r="D535" s="1">
        <v>60000</v>
      </c>
      <c r="E535">
        <v>3</v>
      </c>
      <c r="F535" t="s">
        <v>13</v>
      </c>
      <c r="G535" t="s">
        <v>28</v>
      </c>
      <c r="H535" t="s">
        <v>15</v>
      </c>
      <c r="I535">
        <v>2</v>
      </c>
      <c r="J535" t="s">
        <v>46</v>
      </c>
      <c r="K535" t="s">
        <v>32</v>
      </c>
      <c r="L535">
        <v>66</v>
      </c>
      <c r="M535" t="str">
        <f t="shared" si="8"/>
        <v>Old 55+</v>
      </c>
      <c r="N535" t="s">
        <v>18</v>
      </c>
    </row>
    <row r="536" spans="1:14" x14ac:dyDescent="0.35">
      <c r="A536">
        <v>24637</v>
      </c>
      <c r="B536" t="s">
        <v>36</v>
      </c>
      <c r="C536" t="s">
        <v>39</v>
      </c>
      <c r="D536" s="1">
        <v>40000</v>
      </c>
      <c r="E536">
        <v>4</v>
      </c>
      <c r="F536" t="s">
        <v>27</v>
      </c>
      <c r="G536" t="s">
        <v>21</v>
      </c>
      <c r="H536" t="s">
        <v>15</v>
      </c>
      <c r="I536">
        <v>2</v>
      </c>
      <c r="J536" t="s">
        <v>46</v>
      </c>
      <c r="K536" t="s">
        <v>32</v>
      </c>
      <c r="L536">
        <v>64</v>
      </c>
      <c r="M536" t="str">
        <f t="shared" si="8"/>
        <v>Old 55+</v>
      </c>
      <c r="N536" t="s">
        <v>18</v>
      </c>
    </row>
    <row r="537" spans="1:14" x14ac:dyDescent="0.35">
      <c r="A537">
        <v>23893</v>
      </c>
      <c r="B537" t="s">
        <v>36</v>
      </c>
      <c r="C537" t="s">
        <v>39</v>
      </c>
      <c r="D537" s="1">
        <v>50000</v>
      </c>
      <c r="E537">
        <v>3</v>
      </c>
      <c r="F537" t="s">
        <v>13</v>
      </c>
      <c r="G537" t="s">
        <v>14</v>
      </c>
      <c r="H537" t="s">
        <v>15</v>
      </c>
      <c r="I537">
        <v>3</v>
      </c>
      <c r="J537" t="s">
        <v>46</v>
      </c>
      <c r="K537" t="s">
        <v>32</v>
      </c>
      <c r="L537">
        <v>41</v>
      </c>
      <c r="M537" t="str">
        <f t="shared" si="8"/>
        <v>Middle age 31-54</v>
      </c>
      <c r="N537" t="s">
        <v>18</v>
      </c>
    </row>
    <row r="538" spans="1:14" x14ac:dyDescent="0.35">
      <c r="A538">
        <v>13907</v>
      </c>
      <c r="B538" t="s">
        <v>37</v>
      </c>
      <c r="C538" t="s">
        <v>38</v>
      </c>
      <c r="D538" s="1">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36</v>
      </c>
      <c r="C539" t="s">
        <v>38</v>
      </c>
      <c r="D539" s="1">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36</v>
      </c>
      <c r="C540" t="s">
        <v>38</v>
      </c>
      <c r="D540" s="1">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37</v>
      </c>
      <c r="C541" t="s">
        <v>38</v>
      </c>
      <c r="D541" s="1">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37</v>
      </c>
      <c r="C542" t="s">
        <v>38</v>
      </c>
      <c r="D542" s="1">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Adolescent 0-30</v>
      </c>
      <c r="N544" t="s">
        <v>18</v>
      </c>
    </row>
    <row r="545" spans="1:14" x14ac:dyDescent="0.35">
      <c r="A545">
        <v>25898</v>
      </c>
      <c r="B545" t="s">
        <v>36</v>
      </c>
      <c r="C545" t="s">
        <v>38</v>
      </c>
      <c r="D545" s="1">
        <v>70000</v>
      </c>
      <c r="E545">
        <v>2</v>
      </c>
      <c r="F545" t="s">
        <v>27</v>
      </c>
      <c r="G545" t="s">
        <v>21</v>
      </c>
      <c r="H545" t="s">
        <v>15</v>
      </c>
      <c r="I545">
        <v>2</v>
      </c>
      <c r="J545" t="s">
        <v>22</v>
      </c>
      <c r="K545" t="s">
        <v>32</v>
      </c>
      <c r="L545">
        <v>53</v>
      </c>
      <c r="M545" t="str">
        <f t="shared" si="8"/>
        <v>Middle age 31-54</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Adolescent 0-30</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 31-54</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 55+</v>
      </c>
      <c r="N549" t="s">
        <v>15</v>
      </c>
    </row>
    <row r="550" spans="1:14" x14ac:dyDescent="0.35">
      <c r="A550">
        <v>18674</v>
      </c>
      <c r="B550" t="s">
        <v>37</v>
      </c>
      <c r="C550" t="s">
        <v>38</v>
      </c>
      <c r="D550" s="1">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36</v>
      </c>
      <c r="C551" t="s">
        <v>38</v>
      </c>
      <c r="D551" s="1">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37</v>
      </c>
      <c r="C552" t="s">
        <v>38</v>
      </c>
      <c r="D552" s="1">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36</v>
      </c>
      <c r="C553" t="s">
        <v>38</v>
      </c>
      <c r="D553" s="1">
        <v>50000</v>
      </c>
      <c r="E553">
        <v>4</v>
      </c>
      <c r="F553" t="s">
        <v>13</v>
      </c>
      <c r="G553" t="s">
        <v>28</v>
      </c>
      <c r="H553" t="s">
        <v>15</v>
      </c>
      <c r="I553">
        <v>2</v>
      </c>
      <c r="J553" t="s">
        <v>46</v>
      </c>
      <c r="K553" t="s">
        <v>32</v>
      </c>
      <c r="L553">
        <v>63</v>
      </c>
      <c r="M553" t="str">
        <f t="shared" si="8"/>
        <v>Old 55+</v>
      </c>
      <c r="N553" t="s">
        <v>18</v>
      </c>
    </row>
    <row r="554" spans="1:14" x14ac:dyDescent="0.35">
      <c r="A554">
        <v>14417</v>
      </c>
      <c r="B554" t="s">
        <v>37</v>
      </c>
      <c r="C554" t="s">
        <v>39</v>
      </c>
      <c r="D554" s="1">
        <v>60000</v>
      </c>
      <c r="E554">
        <v>3</v>
      </c>
      <c r="F554" t="s">
        <v>27</v>
      </c>
      <c r="G554" t="s">
        <v>21</v>
      </c>
      <c r="H554" t="s">
        <v>15</v>
      </c>
      <c r="I554">
        <v>2</v>
      </c>
      <c r="J554" t="s">
        <v>46</v>
      </c>
      <c r="K554" t="s">
        <v>32</v>
      </c>
      <c r="L554">
        <v>54</v>
      </c>
      <c r="M554" t="str">
        <f t="shared" si="8"/>
        <v>Middle age 31-54</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 55+</v>
      </c>
      <c r="N555" t="s">
        <v>15</v>
      </c>
    </row>
    <row r="556" spans="1:14" x14ac:dyDescent="0.35">
      <c r="A556">
        <v>18580</v>
      </c>
      <c r="B556" t="s">
        <v>36</v>
      </c>
      <c r="C556" t="s">
        <v>38</v>
      </c>
      <c r="D556" s="1">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36</v>
      </c>
      <c r="C559" t="s">
        <v>38</v>
      </c>
      <c r="D559" s="1">
        <v>40000</v>
      </c>
      <c r="E559">
        <v>3</v>
      </c>
      <c r="F559" t="s">
        <v>19</v>
      </c>
      <c r="G559" t="s">
        <v>20</v>
      </c>
      <c r="H559" t="s">
        <v>15</v>
      </c>
      <c r="I559">
        <v>0</v>
      </c>
      <c r="J559" t="s">
        <v>26</v>
      </c>
      <c r="K559" t="s">
        <v>32</v>
      </c>
      <c r="L559">
        <v>31</v>
      </c>
      <c r="M559" t="str">
        <f t="shared" si="8"/>
        <v>Middle age 31-54</v>
      </c>
      <c r="N559" t="s">
        <v>18</v>
      </c>
    </row>
    <row r="560" spans="1:14" x14ac:dyDescent="0.35">
      <c r="A560">
        <v>23200</v>
      </c>
      <c r="B560" t="s">
        <v>36</v>
      </c>
      <c r="C560" t="s">
        <v>38</v>
      </c>
      <c r="D560" s="1">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37</v>
      </c>
      <c r="C561" t="s">
        <v>38</v>
      </c>
      <c r="D561" s="1">
        <v>60000</v>
      </c>
      <c r="E561">
        <v>2</v>
      </c>
      <c r="F561" t="s">
        <v>13</v>
      </c>
      <c r="G561" t="s">
        <v>28</v>
      </c>
      <c r="H561" t="s">
        <v>15</v>
      </c>
      <c r="I561">
        <v>0</v>
      </c>
      <c r="J561" t="s">
        <v>46</v>
      </c>
      <c r="K561" t="s">
        <v>32</v>
      </c>
      <c r="L561">
        <v>58</v>
      </c>
      <c r="M561" t="str">
        <f t="shared" si="8"/>
        <v>Old 55+</v>
      </c>
      <c r="N561" t="s">
        <v>18</v>
      </c>
    </row>
    <row r="562" spans="1:14" x14ac:dyDescent="0.35">
      <c r="A562">
        <v>18577</v>
      </c>
      <c r="B562" t="s">
        <v>36</v>
      </c>
      <c r="C562" t="s">
        <v>38</v>
      </c>
      <c r="D562" s="1">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36</v>
      </c>
      <c r="C563" t="s">
        <v>38</v>
      </c>
      <c r="D563" s="1">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36</v>
      </c>
      <c r="C564" t="s">
        <v>38</v>
      </c>
      <c r="D564" s="1">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37</v>
      </c>
      <c r="C565" t="s">
        <v>38</v>
      </c>
      <c r="D565" s="1">
        <v>30000</v>
      </c>
      <c r="E565">
        <v>0</v>
      </c>
      <c r="F565" t="s">
        <v>19</v>
      </c>
      <c r="G565" t="s">
        <v>14</v>
      </c>
      <c r="H565" t="s">
        <v>15</v>
      </c>
      <c r="I565">
        <v>1</v>
      </c>
      <c r="J565" t="s">
        <v>23</v>
      </c>
      <c r="K565" t="s">
        <v>32</v>
      </c>
      <c r="L565">
        <v>28</v>
      </c>
      <c r="M565" t="str">
        <f t="shared" si="8"/>
        <v>Adolescent 0-30</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Adolescent 0-30</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 31-54</v>
      </c>
      <c r="N567" t="s">
        <v>15</v>
      </c>
    </row>
    <row r="568" spans="1:14" x14ac:dyDescent="0.35">
      <c r="A568">
        <v>18847</v>
      </c>
      <c r="B568" t="s">
        <v>36</v>
      </c>
      <c r="C568" t="s">
        <v>38</v>
      </c>
      <c r="D568" s="1">
        <v>60000</v>
      </c>
      <c r="E568">
        <v>2</v>
      </c>
      <c r="F568" t="s">
        <v>31</v>
      </c>
      <c r="G568" t="s">
        <v>28</v>
      </c>
      <c r="H568" t="s">
        <v>15</v>
      </c>
      <c r="I568">
        <v>2</v>
      </c>
      <c r="J568" t="s">
        <v>23</v>
      </c>
      <c r="K568" t="s">
        <v>32</v>
      </c>
      <c r="L568">
        <v>70</v>
      </c>
      <c r="M568" t="str">
        <f t="shared" si="8"/>
        <v>Old 55+</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37</v>
      </c>
      <c r="C571" t="s">
        <v>39</v>
      </c>
      <c r="D571" s="1">
        <v>50000</v>
      </c>
      <c r="E571">
        <v>3</v>
      </c>
      <c r="F571" t="s">
        <v>31</v>
      </c>
      <c r="G571" t="s">
        <v>28</v>
      </c>
      <c r="H571" t="s">
        <v>15</v>
      </c>
      <c r="I571">
        <v>2</v>
      </c>
      <c r="J571" t="s">
        <v>46</v>
      </c>
      <c r="K571" t="s">
        <v>32</v>
      </c>
      <c r="L571">
        <v>69</v>
      </c>
      <c r="M571" t="str">
        <f t="shared" si="8"/>
        <v>Old 55+</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 55+</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Adolescent 0-30</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 55+</v>
      </c>
      <c r="N575" t="s">
        <v>18</v>
      </c>
    </row>
    <row r="576" spans="1:14" x14ac:dyDescent="0.35">
      <c r="A576">
        <v>21266</v>
      </c>
      <c r="B576" t="s">
        <v>37</v>
      </c>
      <c r="C576" t="s">
        <v>38</v>
      </c>
      <c r="D576" s="1">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37</v>
      </c>
      <c r="C577" t="s">
        <v>39</v>
      </c>
      <c r="D577" s="1">
        <v>60000</v>
      </c>
      <c r="E577">
        <v>2</v>
      </c>
      <c r="F577" t="s">
        <v>19</v>
      </c>
      <c r="G577" t="s">
        <v>21</v>
      </c>
      <c r="H577" t="s">
        <v>15</v>
      </c>
      <c r="I577">
        <v>1</v>
      </c>
      <c r="J577" t="s">
        <v>46</v>
      </c>
      <c r="K577" t="s">
        <v>32</v>
      </c>
      <c r="L577">
        <v>56</v>
      </c>
      <c r="M577" t="str">
        <f t="shared" si="8"/>
        <v>Old 55+</v>
      </c>
      <c r="N577" t="s">
        <v>18</v>
      </c>
    </row>
    <row r="578" spans="1:14" x14ac:dyDescent="0.35">
      <c r="A578">
        <v>18752</v>
      </c>
      <c r="B578" t="s">
        <v>37</v>
      </c>
      <c r="C578" t="s">
        <v>38</v>
      </c>
      <c r="D578" s="1">
        <v>40000</v>
      </c>
      <c r="E578">
        <v>0</v>
      </c>
      <c r="F578" t="s">
        <v>27</v>
      </c>
      <c r="G578" t="s">
        <v>14</v>
      </c>
      <c r="H578" t="s">
        <v>15</v>
      </c>
      <c r="I578">
        <v>1</v>
      </c>
      <c r="J578" t="s">
        <v>23</v>
      </c>
      <c r="K578" t="s">
        <v>32</v>
      </c>
      <c r="L578">
        <v>31</v>
      </c>
      <c r="M578" t="str">
        <f t="shared" si="8"/>
        <v>Middle age 31-54</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 55+</v>
      </c>
      <c r="N580" t="s">
        <v>18</v>
      </c>
    </row>
    <row r="581" spans="1:14" x14ac:dyDescent="0.35">
      <c r="A581">
        <v>25329</v>
      </c>
      <c r="B581" t="s">
        <v>37</v>
      </c>
      <c r="C581" t="s">
        <v>38</v>
      </c>
      <c r="D581" s="1">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36</v>
      </c>
      <c r="C582" t="s">
        <v>38</v>
      </c>
      <c r="D582" s="1">
        <v>60000</v>
      </c>
      <c r="E582">
        <v>3</v>
      </c>
      <c r="F582" t="s">
        <v>31</v>
      </c>
      <c r="G582" t="s">
        <v>28</v>
      </c>
      <c r="H582" t="s">
        <v>15</v>
      </c>
      <c r="I582">
        <v>2</v>
      </c>
      <c r="J582" t="s">
        <v>46</v>
      </c>
      <c r="K582" t="s">
        <v>32</v>
      </c>
      <c r="L582">
        <v>69</v>
      </c>
      <c r="M582" t="str">
        <f t="shared" si="9"/>
        <v>Old 55+</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Adolescent 0-30</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 31-54</v>
      </c>
      <c r="N584" t="s">
        <v>18</v>
      </c>
    </row>
    <row r="585" spans="1:14" x14ac:dyDescent="0.35">
      <c r="A585">
        <v>24943</v>
      </c>
      <c r="B585" t="s">
        <v>36</v>
      </c>
      <c r="C585" t="s">
        <v>39</v>
      </c>
      <c r="D585" s="1">
        <v>60000</v>
      </c>
      <c r="E585">
        <v>3</v>
      </c>
      <c r="F585" t="s">
        <v>13</v>
      </c>
      <c r="G585" t="s">
        <v>28</v>
      </c>
      <c r="H585" t="s">
        <v>15</v>
      </c>
      <c r="I585">
        <v>2</v>
      </c>
      <c r="J585" t="s">
        <v>46</v>
      </c>
      <c r="K585" t="s">
        <v>32</v>
      </c>
      <c r="L585">
        <v>66</v>
      </c>
      <c r="M585" t="str">
        <f t="shared" si="9"/>
        <v>Old 55+</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36</v>
      </c>
      <c r="C589" t="s">
        <v>38</v>
      </c>
      <c r="D589" s="1">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36</v>
      </c>
      <c r="C590" t="s">
        <v>38</v>
      </c>
      <c r="D590" s="1">
        <v>90000</v>
      </c>
      <c r="E590">
        <v>2</v>
      </c>
      <c r="F590" t="s">
        <v>27</v>
      </c>
      <c r="G590" t="s">
        <v>21</v>
      </c>
      <c r="H590" t="s">
        <v>15</v>
      </c>
      <c r="I590">
        <v>1</v>
      </c>
      <c r="J590" t="s">
        <v>46</v>
      </c>
      <c r="K590" t="s">
        <v>32</v>
      </c>
      <c r="L590">
        <v>51</v>
      </c>
      <c r="M590" t="str">
        <f t="shared" si="9"/>
        <v>Middle age 31-54</v>
      </c>
      <c r="N590" t="s">
        <v>15</v>
      </c>
    </row>
    <row r="591" spans="1:14" x14ac:dyDescent="0.35">
      <c r="A591">
        <v>12100</v>
      </c>
      <c r="B591" t="s">
        <v>37</v>
      </c>
      <c r="C591" t="s">
        <v>39</v>
      </c>
      <c r="D591" s="1">
        <v>60000</v>
      </c>
      <c r="E591">
        <v>2</v>
      </c>
      <c r="F591" t="s">
        <v>13</v>
      </c>
      <c r="G591" t="s">
        <v>28</v>
      </c>
      <c r="H591" t="s">
        <v>15</v>
      </c>
      <c r="I591">
        <v>0</v>
      </c>
      <c r="J591" t="s">
        <v>46</v>
      </c>
      <c r="K591" t="s">
        <v>32</v>
      </c>
      <c r="L591">
        <v>57</v>
      </c>
      <c r="M591" t="str">
        <f t="shared" si="9"/>
        <v>Old 55+</v>
      </c>
      <c r="N591" t="s">
        <v>18</v>
      </c>
    </row>
    <row r="592" spans="1:14" x14ac:dyDescent="0.35">
      <c r="A592">
        <v>23158</v>
      </c>
      <c r="B592" t="s">
        <v>36</v>
      </c>
      <c r="C592" t="s">
        <v>38</v>
      </c>
      <c r="D592" s="1">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36</v>
      </c>
      <c r="C593" t="s">
        <v>39</v>
      </c>
      <c r="D593" s="1">
        <v>40000</v>
      </c>
      <c r="E593">
        <v>4</v>
      </c>
      <c r="F593" t="s">
        <v>27</v>
      </c>
      <c r="G593" t="s">
        <v>21</v>
      </c>
      <c r="H593" t="s">
        <v>18</v>
      </c>
      <c r="I593">
        <v>2</v>
      </c>
      <c r="J593" t="s">
        <v>46</v>
      </c>
      <c r="K593" t="s">
        <v>32</v>
      </c>
      <c r="L593">
        <v>61</v>
      </c>
      <c r="M593" t="str">
        <f t="shared" si="9"/>
        <v>Old 55+</v>
      </c>
      <c r="N593" t="s">
        <v>15</v>
      </c>
    </row>
    <row r="594" spans="1:14" x14ac:dyDescent="0.35">
      <c r="A594">
        <v>18391</v>
      </c>
      <c r="B594" t="s">
        <v>37</v>
      </c>
      <c r="C594" t="s">
        <v>38</v>
      </c>
      <c r="D594" s="1">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37</v>
      </c>
      <c r="C595" t="s">
        <v>38</v>
      </c>
      <c r="D595" s="1">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 55+</v>
      </c>
      <c r="N596" t="s">
        <v>18</v>
      </c>
    </row>
    <row r="597" spans="1:14" x14ac:dyDescent="0.35">
      <c r="A597">
        <v>18058</v>
      </c>
      <c r="B597" t="s">
        <v>37</v>
      </c>
      <c r="C597" t="s">
        <v>38</v>
      </c>
      <c r="D597" s="1">
        <v>20000</v>
      </c>
      <c r="E597">
        <v>3</v>
      </c>
      <c r="F597" t="s">
        <v>27</v>
      </c>
      <c r="G597" t="s">
        <v>14</v>
      </c>
      <c r="H597" t="s">
        <v>15</v>
      </c>
      <c r="I597">
        <v>2</v>
      </c>
      <c r="J597" t="s">
        <v>22</v>
      </c>
      <c r="K597" t="s">
        <v>32</v>
      </c>
      <c r="L597">
        <v>78</v>
      </c>
      <c r="M597" t="str">
        <f t="shared" si="9"/>
        <v>Old 55+</v>
      </c>
      <c r="N597" t="s">
        <v>18</v>
      </c>
    </row>
    <row r="598" spans="1:14" x14ac:dyDescent="0.35">
      <c r="A598">
        <v>20343</v>
      </c>
      <c r="B598" t="s">
        <v>36</v>
      </c>
      <c r="C598" t="s">
        <v>38</v>
      </c>
      <c r="D598" s="1">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 55+</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36</v>
      </c>
      <c r="C601" t="s">
        <v>38</v>
      </c>
      <c r="D601" s="1">
        <v>60000</v>
      </c>
      <c r="E601">
        <v>2</v>
      </c>
      <c r="F601" t="s">
        <v>19</v>
      </c>
      <c r="G601" t="s">
        <v>21</v>
      </c>
      <c r="H601" t="s">
        <v>15</v>
      </c>
      <c r="I601">
        <v>1</v>
      </c>
      <c r="J601" t="s">
        <v>22</v>
      </c>
      <c r="K601" t="s">
        <v>32</v>
      </c>
      <c r="L601">
        <v>57</v>
      </c>
      <c r="M601" t="str">
        <f t="shared" si="9"/>
        <v>Old 55+</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Adolescent 0-30</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 31-54</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37</v>
      </c>
      <c r="C609" t="s">
        <v>38</v>
      </c>
      <c r="D609" s="1">
        <v>70000</v>
      </c>
      <c r="E609">
        <v>5</v>
      </c>
      <c r="F609" t="s">
        <v>31</v>
      </c>
      <c r="G609" t="s">
        <v>21</v>
      </c>
      <c r="H609" t="s">
        <v>15</v>
      </c>
      <c r="I609">
        <v>3</v>
      </c>
      <c r="J609" t="s">
        <v>46</v>
      </c>
      <c r="K609" t="s">
        <v>32</v>
      </c>
      <c r="L609">
        <v>46</v>
      </c>
      <c r="M609" t="str">
        <f t="shared" si="9"/>
        <v>Middle age 31-54</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36</v>
      </c>
      <c r="C613" t="s">
        <v>38</v>
      </c>
      <c r="D613" s="1">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37</v>
      </c>
      <c r="C614" t="s">
        <v>38</v>
      </c>
      <c r="D614" s="1">
        <v>30000</v>
      </c>
      <c r="E614">
        <v>0</v>
      </c>
      <c r="F614" t="s">
        <v>29</v>
      </c>
      <c r="G614" t="s">
        <v>20</v>
      </c>
      <c r="H614" t="s">
        <v>15</v>
      </c>
      <c r="I614">
        <v>2</v>
      </c>
      <c r="J614" t="s">
        <v>23</v>
      </c>
      <c r="K614" t="s">
        <v>32</v>
      </c>
      <c r="L614">
        <v>27</v>
      </c>
      <c r="M614" t="str">
        <f t="shared" si="9"/>
        <v>Adolescent 0-30</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 31-54</v>
      </c>
      <c r="N615" t="s">
        <v>15</v>
      </c>
    </row>
    <row r="616" spans="1:14" x14ac:dyDescent="0.35">
      <c r="A616">
        <v>14469</v>
      </c>
      <c r="B616" t="s">
        <v>36</v>
      </c>
      <c r="C616" t="s">
        <v>38</v>
      </c>
      <c r="D616" s="1">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37</v>
      </c>
      <c r="C617" t="s">
        <v>38</v>
      </c>
      <c r="D617" s="1">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37</v>
      </c>
      <c r="C618" t="s">
        <v>38</v>
      </c>
      <c r="D618" s="1">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37</v>
      </c>
      <c r="C620" t="s">
        <v>38</v>
      </c>
      <c r="D620" s="1">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37</v>
      </c>
      <c r="C621" t="s">
        <v>38</v>
      </c>
      <c r="D621" s="1">
        <v>40000</v>
      </c>
      <c r="E621">
        <v>0</v>
      </c>
      <c r="F621" t="s">
        <v>27</v>
      </c>
      <c r="G621" t="s">
        <v>14</v>
      </c>
      <c r="H621" t="s">
        <v>15</v>
      </c>
      <c r="I621">
        <v>1</v>
      </c>
      <c r="J621" t="s">
        <v>23</v>
      </c>
      <c r="K621" t="s">
        <v>32</v>
      </c>
      <c r="L621">
        <v>30</v>
      </c>
      <c r="M621" t="str">
        <f t="shared" si="9"/>
        <v>Adolescent 0-30</v>
      </c>
      <c r="N621" t="s">
        <v>18</v>
      </c>
    </row>
    <row r="622" spans="1:14" x14ac:dyDescent="0.35">
      <c r="A622">
        <v>11259</v>
      </c>
      <c r="B622" t="s">
        <v>36</v>
      </c>
      <c r="C622" t="s">
        <v>38</v>
      </c>
      <c r="D622" s="1">
        <v>100000</v>
      </c>
      <c r="E622">
        <v>4</v>
      </c>
      <c r="F622" t="s">
        <v>19</v>
      </c>
      <c r="G622" t="s">
        <v>21</v>
      </c>
      <c r="H622" t="s">
        <v>15</v>
      </c>
      <c r="I622">
        <v>4</v>
      </c>
      <c r="J622" t="s">
        <v>22</v>
      </c>
      <c r="K622" t="s">
        <v>32</v>
      </c>
      <c r="L622">
        <v>41</v>
      </c>
      <c r="M622" t="str">
        <f t="shared" si="9"/>
        <v>Middle age 31-54</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 55+</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36</v>
      </c>
      <c r="C625" t="s">
        <v>38</v>
      </c>
      <c r="D625" s="1">
        <v>70000</v>
      </c>
      <c r="E625">
        <v>4</v>
      </c>
      <c r="F625" t="s">
        <v>19</v>
      </c>
      <c r="G625" t="s">
        <v>21</v>
      </c>
      <c r="H625" t="s">
        <v>15</v>
      </c>
      <c r="I625">
        <v>1</v>
      </c>
      <c r="J625" t="s">
        <v>26</v>
      </c>
      <c r="K625" t="s">
        <v>32</v>
      </c>
      <c r="L625">
        <v>55</v>
      </c>
      <c r="M625" t="str">
        <f t="shared" si="9"/>
        <v>Old 55+</v>
      </c>
      <c r="N625" t="s">
        <v>18</v>
      </c>
    </row>
    <row r="626" spans="1:14" x14ac:dyDescent="0.35">
      <c r="A626">
        <v>25943</v>
      </c>
      <c r="B626" t="s">
        <v>37</v>
      </c>
      <c r="C626" t="s">
        <v>38</v>
      </c>
      <c r="D626" s="1">
        <v>70000</v>
      </c>
      <c r="E626">
        <v>0</v>
      </c>
      <c r="F626" t="s">
        <v>19</v>
      </c>
      <c r="G626" t="s">
        <v>14</v>
      </c>
      <c r="H626" t="s">
        <v>18</v>
      </c>
      <c r="I626">
        <v>2</v>
      </c>
      <c r="J626" t="s">
        <v>16</v>
      </c>
      <c r="K626" t="s">
        <v>32</v>
      </c>
      <c r="L626">
        <v>27</v>
      </c>
      <c r="M626" t="str">
        <f t="shared" si="9"/>
        <v>Adolescent 0-30</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 55+</v>
      </c>
      <c r="N627" t="s">
        <v>18</v>
      </c>
    </row>
    <row r="628" spans="1:14" x14ac:dyDescent="0.35">
      <c r="A628">
        <v>20414</v>
      </c>
      <c r="B628" t="s">
        <v>36</v>
      </c>
      <c r="C628" t="s">
        <v>38</v>
      </c>
      <c r="D628" s="1">
        <v>60000</v>
      </c>
      <c r="E628">
        <v>0</v>
      </c>
      <c r="F628" t="s">
        <v>19</v>
      </c>
      <c r="G628" t="s">
        <v>14</v>
      </c>
      <c r="H628" t="s">
        <v>15</v>
      </c>
      <c r="I628">
        <v>2</v>
      </c>
      <c r="J628" t="s">
        <v>23</v>
      </c>
      <c r="K628" t="s">
        <v>32</v>
      </c>
      <c r="L628">
        <v>29</v>
      </c>
      <c r="M628" t="str">
        <f t="shared" si="9"/>
        <v>Adolescent 0-30</v>
      </c>
      <c r="N628" t="s">
        <v>18</v>
      </c>
    </row>
    <row r="629" spans="1:14" x14ac:dyDescent="0.35">
      <c r="A629">
        <v>23672</v>
      </c>
      <c r="B629" t="s">
        <v>36</v>
      </c>
      <c r="C629" t="s">
        <v>38</v>
      </c>
      <c r="D629" s="1">
        <v>60000</v>
      </c>
      <c r="E629">
        <v>3</v>
      </c>
      <c r="F629" t="s">
        <v>31</v>
      </c>
      <c r="G629" t="s">
        <v>28</v>
      </c>
      <c r="H629" t="s">
        <v>15</v>
      </c>
      <c r="I629">
        <v>2</v>
      </c>
      <c r="J629" t="s">
        <v>26</v>
      </c>
      <c r="K629" t="s">
        <v>32</v>
      </c>
      <c r="L629">
        <v>67</v>
      </c>
      <c r="M629" t="str">
        <f t="shared" si="9"/>
        <v>Old 55+</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36</v>
      </c>
      <c r="C631" t="s">
        <v>38</v>
      </c>
      <c r="D631" s="1">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Adolescent 0-30</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 31-54</v>
      </c>
      <c r="N633" t="s">
        <v>18</v>
      </c>
    </row>
    <row r="634" spans="1:14" x14ac:dyDescent="0.35">
      <c r="A634">
        <v>13754</v>
      </c>
      <c r="B634" t="s">
        <v>37</v>
      </c>
      <c r="C634" t="s">
        <v>38</v>
      </c>
      <c r="D634" s="1">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36</v>
      </c>
      <c r="C635" t="s">
        <v>38</v>
      </c>
      <c r="D635" s="1">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 55+</v>
      </c>
      <c r="N636" t="s">
        <v>18</v>
      </c>
    </row>
    <row r="637" spans="1:14" x14ac:dyDescent="0.35">
      <c r="A637">
        <v>24745</v>
      </c>
      <c r="B637" t="s">
        <v>37</v>
      </c>
      <c r="C637" t="s">
        <v>38</v>
      </c>
      <c r="D637" s="1">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37</v>
      </c>
      <c r="C638" t="s">
        <v>38</v>
      </c>
      <c r="D638" s="1">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Adolescent 0-30</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 55+</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 55+</v>
      </c>
      <c r="N641" t="s">
        <v>18</v>
      </c>
    </row>
    <row r="642" spans="1:14" x14ac:dyDescent="0.35">
      <c r="A642">
        <v>25886</v>
      </c>
      <c r="B642" t="s">
        <v>36</v>
      </c>
      <c r="C642" t="s">
        <v>38</v>
      </c>
      <c r="D642" s="1">
        <v>60000</v>
      </c>
      <c r="E642">
        <v>2</v>
      </c>
      <c r="F642" t="s">
        <v>19</v>
      </c>
      <c r="G642" t="s">
        <v>21</v>
      </c>
      <c r="H642" t="s">
        <v>15</v>
      </c>
      <c r="I642">
        <v>2</v>
      </c>
      <c r="J642" t="s">
        <v>22</v>
      </c>
      <c r="K642" t="s">
        <v>32</v>
      </c>
      <c r="L642">
        <v>56</v>
      </c>
      <c r="M642" t="str">
        <f t="shared" si="9"/>
        <v>Old 55+</v>
      </c>
      <c r="N642" t="s">
        <v>15</v>
      </c>
    </row>
    <row r="643" spans="1:14" x14ac:dyDescent="0.35">
      <c r="A643">
        <v>21441</v>
      </c>
      <c r="B643" t="s">
        <v>36</v>
      </c>
      <c r="C643" t="s">
        <v>39</v>
      </c>
      <c r="D643" s="1">
        <v>50000</v>
      </c>
      <c r="E643">
        <v>4</v>
      </c>
      <c r="F643" t="s">
        <v>13</v>
      </c>
      <c r="G643" t="s">
        <v>28</v>
      </c>
      <c r="H643" t="s">
        <v>15</v>
      </c>
      <c r="I643">
        <v>2</v>
      </c>
      <c r="J643" t="s">
        <v>46</v>
      </c>
      <c r="K643" t="s">
        <v>32</v>
      </c>
      <c r="L643">
        <v>64</v>
      </c>
      <c r="M643" t="str">
        <f t="shared" ref="M643:M706" si="10">IF(L643&gt;54,"Old 55+",IF(L643&gt;=31,"Middle age 31-54",IF(L643&lt;31,"Adolescent 0-30","Invalid")))</f>
        <v>Old 55+</v>
      </c>
      <c r="N643" t="s">
        <v>18</v>
      </c>
    </row>
    <row r="644" spans="1:14" x14ac:dyDescent="0.35">
      <c r="A644">
        <v>21741</v>
      </c>
      <c r="B644" t="s">
        <v>36</v>
      </c>
      <c r="C644" t="s">
        <v>38</v>
      </c>
      <c r="D644" s="1">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36</v>
      </c>
      <c r="C645" t="s">
        <v>38</v>
      </c>
      <c r="D645" s="1">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36</v>
      </c>
      <c r="C646" t="s">
        <v>38</v>
      </c>
      <c r="D646" s="1">
        <v>60000</v>
      </c>
      <c r="E646">
        <v>5</v>
      </c>
      <c r="F646" t="s">
        <v>13</v>
      </c>
      <c r="G646" t="s">
        <v>14</v>
      </c>
      <c r="H646" t="s">
        <v>15</v>
      </c>
      <c r="I646">
        <v>3</v>
      </c>
      <c r="J646" t="s">
        <v>46</v>
      </c>
      <c r="K646" t="s">
        <v>32</v>
      </c>
      <c r="L646">
        <v>41</v>
      </c>
      <c r="M646" t="str">
        <f t="shared" si="10"/>
        <v>Middle age 31-54</v>
      </c>
      <c r="N646" t="s">
        <v>18</v>
      </c>
    </row>
    <row r="647" spans="1:14" x14ac:dyDescent="0.35">
      <c r="A647">
        <v>16217</v>
      </c>
      <c r="B647" t="s">
        <v>37</v>
      </c>
      <c r="C647" t="s">
        <v>38</v>
      </c>
      <c r="D647" s="1">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37</v>
      </c>
      <c r="C648" t="s">
        <v>38</v>
      </c>
      <c r="D648" s="1">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 31-54</v>
      </c>
      <c r="N649" t="s">
        <v>18</v>
      </c>
    </row>
    <row r="650" spans="1:14" x14ac:dyDescent="0.35">
      <c r="A650">
        <v>25872</v>
      </c>
      <c r="B650" t="s">
        <v>37</v>
      </c>
      <c r="C650" t="s">
        <v>38</v>
      </c>
      <c r="D650" s="1">
        <v>70000</v>
      </c>
      <c r="E650">
        <v>2</v>
      </c>
      <c r="F650" t="s">
        <v>13</v>
      </c>
      <c r="G650" t="s">
        <v>28</v>
      </c>
      <c r="H650" t="s">
        <v>18</v>
      </c>
      <c r="I650">
        <v>1</v>
      </c>
      <c r="J650" t="s">
        <v>22</v>
      </c>
      <c r="K650" t="s">
        <v>32</v>
      </c>
      <c r="L650">
        <v>58</v>
      </c>
      <c r="M650" t="str">
        <f t="shared" si="10"/>
        <v>Old 55+</v>
      </c>
      <c r="N650" t="s">
        <v>15</v>
      </c>
    </row>
    <row r="651" spans="1:14" x14ac:dyDescent="0.35">
      <c r="A651">
        <v>19164</v>
      </c>
      <c r="B651" t="s">
        <v>37</v>
      </c>
      <c r="C651" t="s">
        <v>38</v>
      </c>
      <c r="D651" s="1">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37</v>
      </c>
      <c r="C652" t="s">
        <v>38</v>
      </c>
      <c r="D652" s="1">
        <v>70000</v>
      </c>
      <c r="E652">
        <v>5</v>
      </c>
      <c r="F652" t="s">
        <v>31</v>
      </c>
      <c r="G652" t="s">
        <v>28</v>
      </c>
      <c r="H652" t="s">
        <v>15</v>
      </c>
      <c r="I652">
        <v>2</v>
      </c>
      <c r="J652" t="s">
        <v>46</v>
      </c>
      <c r="K652" t="s">
        <v>32</v>
      </c>
      <c r="L652">
        <v>67</v>
      </c>
      <c r="M652" t="str">
        <f t="shared" si="10"/>
        <v>Old 55+</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 31-54</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 31-54</v>
      </c>
      <c r="N656" t="s">
        <v>15</v>
      </c>
    </row>
    <row r="657" spans="1:14" x14ac:dyDescent="0.35">
      <c r="A657">
        <v>26236</v>
      </c>
      <c r="B657" t="s">
        <v>36</v>
      </c>
      <c r="C657" t="s">
        <v>38</v>
      </c>
      <c r="D657" s="1">
        <v>40000</v>
      </c>
      <c r="E657">
        <v>3</v>
      </c>
      <c r="F657" t="s">
        <v>19</v>
      </c>
      <c r="G657" t="s">
        <v>20</v>
      </c>
      <c r="H657" t="s">
        <v>15</v>
      </c>
      <c r="I657">
        <v>1</v>
      </c>
      <c r="J657" t="s">
        <v>16</v>
      </c>
      <c r="K657" t="s">
        <v>32</v>
      </c>
      <c r="L657">
        <v>31</v>
      </c>
      <c r="M657" t="str">
        <f t="shared" si="10"/>
        <v>Middle age 31-54</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37</v>
      </c>
      <c r="C661" t="s">
        <v>38</v>
      </c>
      <c r="D661" s="1">
        <v>60000</v>
      </c>
      <c r="E661">
        <v>4</v>
      </c>
      <c r="F661" t="s">
        <v>13</v>
      </c>
      <c r="G661" t="s">
        <v>28</v>
      </c>
      <c r="H661" t="s">
        <v>15</v>
      </c>
      <c r="I661">
        <v>2</v>
      </c>
      <c r="J661" t="s">
        <v>46</v>
      </c>
      <c r="K661" t="s">
        <v>32</v>
      </c>
      <c r="L661">
        <v>63</v>
      </c>
      <c r="M661" t="str">
        <f t="shared" si="10"/>
        <v>Old 55+</v>
      </c>
      <c r="N661" t="s">
        <v>18</v>
      </c>
    </row>
    <row r="662" spans="1:14" x14ac:dyDescent="0.35">
      <c r="A662">
        <v>21599</v>
      </c>
      <c r="B662" t="s">
        <v>36</v>
      </c>
      <c r="C662" t="s">
        <v>38</v>
      </c>
      <c r="D662" s="1">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Adolescent 0-30</v>
      </c>
      <c r="N663" t="s">
        <v>15</v>
      </c>
    </row>
    <row r="664" spans="1:14" x14ac:dyDescent="0.35">
      <c r="A664">
        <v>27637</v>
      </c>
      <c r="B664" t="s">
        <v>37</v>
      </c>
      <c r="C664" t="s">
        <v>38</v>
      </c>
      <c r="D664" s="1">
        <v>100000</v>
      </c>
      <c r="E664">
        <v>1</v>
      </c>
      <c r="F664" t="s">
        <v>19</v>
      </c>
      <c r="G664" t="s">
        <v>21</v>
      </c>
      <c r="H664" t="s">
        <v>18</v>
      </c>
      <c r="I664">
        <v>3</v>
      </c>
      <c r="J664" t="s">
        <v>26</v>
      </c>
      <c r="K664" t="s">
        <v>32</v>
      </c>
      <c r="L664">
        <v>44</v>
      </c>
      <c r="M664" t="str">
        <f t="shared" si="10"/>
        <v>Middle age 31-54</v>
      </c>
      <c r="N664" t="s">
        <v>18</v>
      </c>
    </row>
    <row r="665" spans="1:14" x14ac:dyDescent="0.35">
      <c r="A665">
        <v>11890</v>
      </c>
      <c r="B665" t="s">
        <v>36</v>
      </c>
      <c r="C665" t="s">
        <v>38</v>
      </c>
      <c r="D665" s="1">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36</v>
      </c>
      <c r="C666" t="s">
        <v>38</v>
      </c>
      <c r="D666" s="1">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36</v>
      </c>
      <c r="C668" t="s">
        <v>38</v>
      </c>
      <c r="D668" s="1">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36</v>
      </c>
      <c r="C669" t="s">
        <v>38</v>
      </c>
      <c r="D669" s="1">
        <v>40000</v>
      </c>
      <c r="E669">
        <v>5</v>
      </c>
      <c r="F669" t="s">
        <v>27</v>
      </c>
      <c r="G669" t="s">
        <v>21</v>
      </c>
      <c r="H669" t="s">
        <v>18</v>
      </c>
      <c r="I669">
        <v>2</v>
      </c>
      <c r="J669" t="s">
        <v>46</v>
      </c>
      <c r="K669" t="s">
        <v>32</v>
      </c>
      <c r="L669">
        <v>61</v>
      </c>
      <c r="M669" t="str">
        <f t="shared" si="10"/>
        <v>Old 55+</v>
      </c>
      <c r="N669" t="s">
        <v>18</v>
      </c>
    </row>
    <row r="670" spans="1:14" x14ac:dyDescent="0.35">
      <c r="A670">
        <v>14592</v>
      </c>
      <c r="B670" t="s">
        <v>36</v>
      </c>
      <c r="C670" t="s">
        <v>38</v>
      </c>
      <c r="D670" s="1">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36</v>
      </c>
      <c r="C671" t="s">
        <v>38</v>
      </c>
      <c r="D671" s="1">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36</v>
      </c>
      <c r="C672" t="s">
        <v>39</v>
      </c>
      <c r="D672" s="1">
        <v>70000</v>
      </c>
      <c r="E672">
        <v>2</v>
      </c>
      <c r="F672" t="s">
        <v>19</v>
      </c>
      <c r="G672" t="s">
        <v>21</v>
      </c>
      <c r="H672" t="s">
        <v>15</v>
      </c>
      <c r="I672">
        <v>1</v>
      </c>
      <c r="J672" t="s">
        <v>46</v>
      </c>
      <c r="K672" t="s">
        <v>32</v>
      </c>
      <c r="L672">
        <v>59</v>
      </c>
      <c r="M672" t="str">
        <f t="shared" si="10"/>
        <v>Old 55+</v>
      </c>
      <c r="N672" t="s">
        <v>18</v>
      </c>
    </row>
    <row r="673" spans="1:14" x14ac:dyDescent="0.35">
      <c r="A673">
        <v>22252</v>
      </c>
      <c r="B673" t="s">
        <v>37</v>
      </c>
      <c r="C673" t="s">
        <v>38</v>
      </c>
      <c r="D673" s="1">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37</v>
      </c>
      <c r="C674" t="s">
        <v>38</v>
      </c>
      <c r="D674" s="1">
        <v>40000</v>
      </c>
      <c r="E674">
        <v>0</v>
      </c>
      <c r="F674" t="s">
        <v>27</v>
      </c>
      <c r="G674" t="s">
        <v>14</v>
      </c>
      <c r="H674" t="s">
        <v>15</v>
      </c>
      <c r="I674">
        <v>2</v>
      </c>
      <c r="J674" t="s">
        <v>23</v>
      </c>
      <c r="K674" t="s">
        <v>32</v>
      </c>
      <c r="L674">
        <v>30</v>
      </c>
      <c r="M674" t="str">
        <f t="shared" si="10"/>
        <v>Adolescent 0-30</v>
      </c>
      <c r="N674" t="s">
        <v>18</v>
      </c>
    </row>
    <row r="675" spans="1:14" x14ac:dyDescent="0.35">
      <c r="A675">
        <v>11817</v>
      </c>
      <c r="B675" t="s">
        <v>37</v>
      </c>
      <c r="C675" t="s">
        <v>38</v>
      </c>
      <c r="D675" s="1">
        <v>70000</v>
      </c>
      <c r="E675">
        <v>4</v>
      </c>
      <c r="F675" t="s">
        <v>31</v>
      </c>
      <c r="G675" t="s">
        <v>21</v>
      </c>
      <c r="H675" t="s">
        <v>15</v>
      </c>
      <c r="I675">
        <v>0</v>
      </c>
      <c r="J675" t="s">
        <v>22</v>
      </c>
      <c r="K675" t="s">
        <v>32</v>
      </c>
      <c r="L675">
        <v>35</v>
      </c>
      <c r="M675" t="str">
        <f t="shared" si="10"/>
        <v>Middle age 31-54</v>
      </c>
      <c r="N675" t="s">
        <v>15</v>
      </c>
    </row>
    <row r="676" spans="1:14" x14ac:dyDescent="0.35">
      <c r="A676">
        <v>19223</v>
      </c>
      <c r="B676" t="s">
        <v>36</v>
      </c>
      <c r="C676" t="s">
        <v>38</v>
      </c>
      <c r="D676" s="1">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 55+</v>
      </c>
      <c r="N680" t="s">
        <v>18</v>
      </c>
    </row>
    <row r="681" spans="1:14" x14ac:dyDescent="0.35">
      <c r="A681">
        <v>21770</v>
      </c>
      <c r="B681" t="s">
        <v>36</v>
      </c>
      <c r="C681" t="s">
        <v>39</v>
      </c>
      <c r="D681" s="1">
        <v>60000</v>
      </c>
      <c r="E681">
        <v>4</v>
      </c>
      <c r="F681" t="s">
        <v>13</v>
      </c>
      <c r="G681" t="s">
        <v>28</v>
      </c>
      <c r="H681" t="s">
        <v>15</v>
      </c>
      <c r="I681">
        <v>2</v>
      </c>
      <c r="J681" t="s">
        <v>46</v>
      </c>
      <c r="K681" t="s">
        <v>32</v>
      </c>
      <c r="L681">
        <v>60</v>
      </c>
      <c r="M681" t="str">
        <f t="shared" si="10"/>
        <v>Old 55+</v>
      </c>
      <c r="N681" t="s">
        <v>18</v>
      </c>
    </row>
    <row r="682" spans="1:14" x14ac:dyDescent="0.35">
      <c r="A682">
        <v>11165</v>
      </c>
      <c r="B682" t="s">
        <v>36</v>
      </c>
      <c r="C682" t="s">
        <v>38</v>
      </c>
      <c r="D682" s="1">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37</v>
      </c>
      <c r="C683" t="s">
        <v>38</v>
      </c>
      <c r="D683" s="1">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36</v>
      </c>
      <c r="C685" t="s">
        <v>38</v>
      </c>
      <c r="D685" s="1">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37</v>
      </c>
      <c r="C686" t="s">
        <v>38</v>
      </c>
      <c r="D686" s="1">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37</v>
      </c>
      <c r="C687" t="s">
        <v>38</v>
      </c>
      <c r="D687" s="1">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36</v>
      </c>
      <c r="C688" t="s">
        <v>38</v>
      </c>
      <c r="D688" s="1">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Adolescent 0-30</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Adolescent 0-30</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Adolescent 0-30</v>
      </c>
      <c r="N691" t="s">
        <v>18</v>
      </c>
    </row>
    <row r="692" spans="1:14" x14ac:dyDescent="0.35">
      <c r="A692">
        <v>28269</v>
      </c>
      <c r="B692" t="s">
        <v>37</v>
      </c>
      <c r="C692" t="s">
        <v>38</v>
      </c>
      <c r="D692" s="1">
        <v>130000</v>
      </c>
      <c r="E692">
        <v>1</v>
      </c>
      <c r="F692" t="s">
        <v>13</v>
      </c>
      <c r="G692" t="s">
        <v>28</v>
      </c>
      <c r="H692" t="s">
        <v>18</v>
      </c>
      <c r="I692">
        <v>1</v>
      </c>
      <c r="J692" t="s">
        <v>22</v>
      </c>
      <c r="K692" t="s">
        <v>32</v>
      </c>
      <c r="L692">
        <v>45</v>
      </c>
      <c r="M692" t="str">
        <f t="shared" si="10"/>
        <v>Middle age 31-54</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37</v>
      </c>
      <c r="C695" t="s">
        <v>38</v>
      </c>
      <c r="D695" s="1">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37</v>
      </c>
      <c r="C696" t="s">
        <v>38</v>
      </c>
      <c r="D696" s="1">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Adolescent 0-30</v>
      </c>
      <c r="N698" t="s">
        <v>18</v>
      </c>
    </row>
    <row r="699" spans="1:14" x14ac:dyDescent="0.35">
      <c r="A699">
        <v>14090</v>
      </c>
      <c r="B699" t="s">
        <v>36</v>
      </c>
      <c r="C699" t="s">
        <v>38</v>
      </c>
      <c r="D699" s="1">
        <v>30000</v>
      </c>
      <c r="E699">
        <v>0</v>
      </c>
      <c r="F699" t="s">
        <v>29</v>
      </c>
      <c r="G699" t="s">
        <v>20</v>
      </c>
      <c r="H699" t="s">
        <v>18</v>
      </c>
      <c r="I699">
        <v>2</v>
      </c>
      <c r="J699" t="s">
        <v>16</v>
      </c>
      <c r="K699" t="s">
        <v>32</v>
      </c>
      <c r="L699">
        <v>28</v>
      </c>
      <c r="M699" t="str">
        <f t="shared" si="10"/>
        <v>Adolescent 0-30</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 31-54</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36</v>
      </c>
      <c r="C702" t="s">
        <v>38</v>
      </c>
      <c r="D702" s="1">
        <v>70000</v>
      </c>
      <c r="E702">
        <v>4</v>
      </c>
      <c r="F702" t="s">
        <v>13</v>
      </c>
      <c r="G702" t="s">
        <v>28</v>
      </c>
      <c r="H702" t="s">
        <v>15</v>
      </c>
      <c r="I702">
        <v>1</v>
      </c>
      <c r="J702" t="s">
        <v>26</v>
      </c>
      <c r="K702" t="s">
        <v>32</v>
      </c>
      <c r="L702">
        <v>59</v>
      </c>
      <c r="M702" t="str">
        <f t="shared" si="10"/>
        <v>Old 55+</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Adolescent 0-30</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 31-54</v>
      </c>
      <c r="N704" t="s">
        <v>15</v>
      </c>
    </row>
    <row r="705" spans="1:14" x14ac:dyDescent="0.35">
      <c r="A705">
        <v>11619</v>
      </c>
      <c r="B705" t="s">
        <v>37</v>
      </c>
      <c r="C705" t="s">
        <v>38</v>
      </c>
      <c r="D705" s="1">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37</v>
      </c>
      <c r="C706" t="s">
        <v>38</v>
      </c>
      <c r="D706" s="1">
        <v>40000</v>
      </c>
      <c r="E706">
        <v>0</v>
      </c>
      <c r="F706" t="s">
        <v>13</v>
      </c>
      <c r="G706" t="s">
        <v>21</v>
      </c>
      <c r="H706" t="s">
        <v>15</v>
      </c>
      <c r="I706">
        <v>1</v>
      </c>
      <c r="J706" t="s">
        <v>22</v>
      </c>
      <c r="K706" t="s">
        <v>32</v>
      </c>
      <c r="L706">
        <v>42</v>
      </c>
      <c r="M706" t="str">
        <f t="shared" si="10"/>
        <v>Middle age 31-54</v>
      </c>
      <c r="N706" t="s">
        <v>15</v>
      </c>
    </row>
    <row r="707" spans="1:14" x14ac:dyDescent="0.35">
      <c r="A707">
        <v>11199</v>
      </c>
      <c r="B707" t="s">
        <v>36</v>
      </c>
      <c r="C707" t="s">
        <v>38</v>
      </c>
      <c r="D707" s="1">
        <v>70000</v>
      </c>
      <c r="E707">
        <v>4</v>
      </c>
      <c r="F707" t="s">
        <v>13</v>
      </c>
      <c r="G707" t="s">
        <v>28</v>
      </c>
      <c r="H707" t="s">
        <v>15</v>
      </c>
      <c r="I707">
        <v>1</v>
      </c>
      <c r="J707" t="s">
        <v>46</v>
      </c>
      <c r="K707" t="s">
        <v>32</v>
      </c>
      <c r="L707">
        <v>59</v>
      </c>
      <c r="M707" t="str">
        <f t="shared" ref="M707:M770" si="11">IF(L707&gt;54,"Old 55+",IF(L707&gt;=31,"Middle age 31-54",IF(L707&lt;31,"Adolescent 0-30","Invalid")))</f>
        <v>Old 55+</v>
      </c>
      <c r="N707" t="s">
        <v>18</v>
      </c>
    </row>
    <row r="708" spans="1:14" x14ac:dyDescent="0.35">
      <c r="A708">
        <v>20296</v>
      </c>
      <c r="B708" t="s">
        <v>37</v>
      </c>
      <c r="C708" t="s">
        <v>38</v>
      </c>
      <c r="D708" s="1">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36</v>
      </c>
      <c r="C709" t="s">
        <v>38</v>
      </c>
      <c r="D709" s="1">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36</v>
      </c>
      <c r="C710" t="s">
        <v>39</v>
      </c>
      <c r="D710" s="1">
        <v>70000</v>
      </c>
      <c r="E710">
        <v>5</v>
      </c>
      <c r="F710" t="s">
        <v>13</v>
      </c>
      <c r="G710" t="s">
        <v>28</v>
      </c>
      <c r="H710" t="s">
        <v>15</v>
      </c>
      <c r="I710">
        <v>4</v>
      </c>
      <c r="J710" t="s">
        <v>46</v>
      </c>
      <c r="K710" t="s">
        <v>32</v>
      </c>
      <c r="L710">
        <v>60</v>
      </c>
      <c r="M710" t="str">
        <f t="shared" si="11"/>
        <v>Old 55+</v>
      </c>
      <c r="N710" t="s">
        <v>18</v>
      </c>
    </row>
    <row r="711" spans="1:14" x14ac:dyDescent="0.35">
      <c r="A711">
        <v>23712</v>
      </c>
      <c r="B711" t="s">
        <v>37</v>
      </c>
      <c r="C711" t="s">
        <v>38</v>
      </c>
      <c r="D711" s="1">
        <v>70000</v>
      </c>
      <c r="E711">
        <v>2</v>
      </c>
      <c r="F711" t="s">
        <v>13</v>
      </c>
      <c r="G711" t="s">
        <v>28</v>
      </c>
      <c r="H711" t="s">
        <v>15</v>
      </c>
      <c r="I711">
        <v>1</v>
      </c>
      <c r="J711" t="s">
        <v>46</v>
      </c>
      <c r="K711" t="s">
        <v>32</v>
      </c>
      <c r="L711">
        <v>59</v>
      </c>
      <c r="M711" t="str">
        <f t="shared" si="11"/>
        <v>Old 55+</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36</v>
      </c>
      <c r="C713" t="s">
        <v>38</v>
      </c>
      <c r="D713" s="1">
        <v>70000</v>
      </c>
      <c r="E713">
        <v>2</v>
      </c>
      <c r="F713" t="s">
        <v>19</v>
      </c>
      <c r="G713" t="s">
        <v>21</v>
      </c>
      <c r="H713" t="s">
        <v>15</v>
      </c>
      <c r="I713">
        <v>1</v>
      </c>
      <c r="J713" t="s">
        <v>46</v>
      </c>
      <c r="K713" t="s">
        <v>32</v>
      </c>
      <c r="L713">
        <v>58</v>
      </c>
      <c r="M713" t="str">
        <f t="shared" si="11"/>
        <v>Old 55+</v>
      </c>
      <c r="N713" t="s">
        <v>18</v>
      </c>
    </row>
    <row r="714" spans="1:14" x14ac:dyDescent="0.35">
      <c r="A714">
        <v>28026</v>
      </c>
      <c r="B714" t="s">
        <v>36</v>
      </c>
      <c r="C714" t="s">
        <v>38</v>
      </c>
      <c r="D714" s="1">
        <v>40000</v>
      </c>
      <c r="E714">
        <v>2</v>
      </c>
      <c r="F714" t="s">
        <v>27</v>
      </c>
      <c r="G714" t="s">
        <v>21</v>
      </c>
      <c r="H714" t="s">
        <v>18</v>
      </c>
      <c r="I714">
        <v>2</v>
      </c>
      <c r="J714" t="s">
        <v>22</v>
      </c>
      <c r="K714" t="s">
        <v>32</v>
      </c>
      <c r="L714">
        <v>59</v>
      </c>
      <c r="M714" t="str">
        <f t="shared" si="11"/>
        <v>Old 55+</v>
      </c>
      <c r="N714" t="s">
        <v>18</v>
      </c>
    </row>
    <row r="715" spans="1:14" x14ac:dyDescent="0.35">
      <c r="A715">
        <v>11669</v>
      </c>
      <c r="B715" t="s">
        <v>37</v>
      </c>
      <c r="C715" t="s">
        <v>38</v>
      </c>
      <c r="D715" s="1">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Adolescent 0-30</v>
      </c>
      <c r="N716" t="s">
        <v>15</v>
      </c>
    </row>
    <row r="717" spans="1:14" x14ac:dyDescent="0.35">
      <c r="A717">
        <v>27090</v>
      </c>
      <c r="B717" t="s">
        <v>36</v>
      </c>
      <c r="C717" t="s">
        <v>38</v>
      </c>
      <c r="D717" s="1">
        <v>60000</v>
      </c>
      <c r="E717">
        <v>1</v>
      </c>
      <c r="F717" t="s">
        <v>31</v>
      </c>
      <c r="G717" t="s">
        <v>21</v>
      </c>
      <c r="H717" t="s">
        <v>15</v>
      </c>
      <c r="I717">
        <v>0</v>
      </c>
      <c r="J717" t="s">
        <v>22</v>
      </c>
      <c r="K717" t="s">
        <v>32</v>
      </c>
      <c r="L717">
        <v>37</v>
      </c>
      <c r="M717" t="str">
        <f t="shared" si="11"/>
        <v>Middle age 31-54</v>
      </c>
      <c r="N717" t="s">
        <v>15</v>
      </c>
    </row>
    <row r="718" spans="1:14" x14ac:dyDescent="0.35">
      <c r="A718">
        <v>27198</v>
      </c>
      <c r="B718" t="s">
        <v>37</v>
      </c>
      <c r="C718" t="s">
        <v>38</v>
      </c>
      <c r="D718" s="1">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36</v>
      </c>
      <c r="C721" t="s">
        <v>38</v>
      </c>
      <c r="D721" s="1">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37</v>
      </c>
      <c r="C722" t="s">
        <v>38</v>
      </c>
      <c r="D722" s="1">
        <v>40000</v>
      </c>
      <c r="E722">
        <v>5</v>
      </c>
      <c r="F722" t="s">
        <v>27</v>
      </c>
      <c r="G722" t="s">
        <v>21</v>
      </c>
      <c r="H722" t="s">
        <v>18</v>
      </c>
      <c r="I722">
        <v>3</v>
      </c>
      <c r="J722" t="s">
        <v>22</v>
      </c>
      <c r="K722" t="s">
        <v>32</v>
      </c>
      <c r="L722">
        <v>60</v>
      </c>
      <c r="M722" t="str">
        <f t="shared" si="11"/>
        <v>Old 55+</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37</v>
      </c>
      <c r="C724" t="s">
        <v>38</v>
      </c>
      <c r="D724" s="1">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37</v>
      </c>
      <c r="C725" t="s">
        <v>38</v>
      </c>
      <c r="D725" s="1">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Adolescent 0-30</v>
      </c>
      <c r="N730" t="s">
        <v>18</v>
      </c>
    </row>
    <row r="731" spans="1:14" x14ac:dyDescent="0.35">
      <c r="A731">
        <v>11886</v>
      </c>
      <c r="B731" t="s">
        <v>36</v>
      </c>
      <c r="C731" t="s">
        <v>38</v>
      </c>
      <c r="D731" s="1">
        <v>60000</v>
      </c>
      <c r="E731">
        <v>3</v>
      </c>
      <c r="F731" t="s">
        <v>13</v>
      </c>
      <c r="G731" t="s">
        <v>21</v>
      </c>
      <c r="H731" t="s">
        <v>15</v>
      </c>
      <c r="I731">
        <v>1</v>
      </c>
      <c r="J731" t="s">
        <v>16</v>
      </c>
      <c r="K731" t="s">
        <v>32</v>
      </c>
      <c r="L731">
        <v>48</v>
      </c>
      <c r="M731" t="str">
        <f t="shared" si="11"/>
        <v>Middle age 31-54</v>
      </c>
      <c r="N731" t="s">
        <v>15</v>
      </c>
    </row>
    <row r="732" spans="1:14" x14ac:dyDescent="0.35">
      <c r="A732">
        <v>24324</v>
      </c>
      <c r="B732" t="s">
        <v>37</v>
      </c>
      <c r="C732" t="s">
        <v>38</v>
      </c>
      <c r="D732" s="1">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37</v>
      </c>
      <c r="C734" t="s">
        <v>38</v>
      </c>
      <c r="D734" s="1">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37</v>
      </c>
      <c r="C736" t="s">
        <v>38</v>
      </c>
      <c r="D736" s="1">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37</v>
      </c>
      <c r="C737" t="s">
        <v>38</v>
      </c>
      <c r="D737" s="1">
        <v>30000</v>
      </c>
      <c r="E737">
        <v>0</v>
      </c>
      <c r="F737" t="s">
        <v>19</v>
      </c>
      <c r="G737" t="s">
        <v>14</v>
      </c>
      <c r="H737" t="s">
        <v>15</v>
      </c>
      <c r="I737">
        <v>1</v>
      </c>
      <c r="J737" t="s">
        <v>23</v>
      </c>
      <c r="K737" t="s">
        <v>32</v>
      </c>
      <c r="L737">
        <v>26</v>
      </c>
      <c r="M737" t="str">
        <f t="shared" si="11"/>
        <v>Adolescent 0-30</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 31-54</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37</v>
      </c>
      <c r="C740" t="s">
        <v>38</v>
      </c>
      <c r="D740" s="1">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36</v>
      </c>
      <c r="C741" t="s">
        <v>38</v>
      </c>
      <c r="D741" s="1">
        <v>60000</v>
      </c>
      <c r="E741">
        <v>2</v>
      </c>
      <c r="F741" t="s">
        <v>19</v>
      </c>
      <c r="G741" t="s">
        <v>21</v>
      </c>
      <c r="H741" t="s">
        <v>15</v>
      </c>
      <c r="I741">
        <v>1</v>
      </c>
      <c r="J741" t="s">
        <v>46</v>
      </c>
      <c r="K741" t="s">
        <v>32</v>
      </c>
      <c r="L741">
        <v>55</v>
      </c>
      <c r="M741" t="str">
        <f t="shared" si="11"/>
        <v>Old 55+</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Adolescent 0-30</v>
      </c>
      <c r="N742" t="s">
        <v>18</v>
      </c>
    </row>
    <row r="743" spans="1:14" x14ac:dyDescent="0.35">
      <c r="A743">
        <v>14913</v>
      </c>
      <c r="B743" t="s">
        <v>36</v>
      </c>
      <c r="C743" t="s">
        <v>38</v>
      </c>
      <c r="D743" s="1">
        <v>40000</v>
      </c>
      <c r="E743">
        <v>1</v>
      </c>
      <c r="F743" t="s">
        <v>19</v>
      </c>
      <c r="G743" t="s">
        <v>20</v>
      </c>
      <c r="H743" t="s">
        <v>15</v>
      </c>
      <c r="I743">
        <v>1</v>
      </c>
      <c r="J743" t="s">
        <v>26</v>
      </c>
      <c r="K743" t="s">
        <v>32</v>
      </c>
      <c r="L743">
        <v>48</v>
      </c>
      <c r="M743" t="str">
        <f t="shared" si="11"/>
        <v>Middle age 31-54</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Adolescent 0-30</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 31-54</v>
      </c>
      <c r="N745" t="s">
        <v>18</v>
      </c>
    </row>
    <row r="746" spans="1:14" x14ac:dyDescent="0.35">
      <c r="A746">
        <v>20535</v>
      </c>
      <c r="B746" t="s">
        <v>36</v>
      </c>
      <c r="C746" t="s">
        <v>38</v>
      </c>
      <c r="D746" s="1">
        <v>70000</v>
      </c>
      <c r="E746">
        <v>4</v>
      </c>
      <c r="F746" t="s">
        <v>19</v>
      </c>
      <c r="G746" t="s">
        <v>21</v>
      </c>
      <c r="H746" t="s">
        <v>15</v>
      </c>
      <c r="I746">
        <v>1</v>
      </c>
      <c r="J746" t="s">
        <v>46</v>
      </c>
      <c r="K746" t="s">
        <v>32</v>
      </c>
      <c r="L746">
        <v>56</v>
      </c>
      <c r="M746" t="str">
        <f t="shared" si="11"/>
        <v>Old 55+</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36</v>
      </c>
      <c r="C748" t="s">
        <v>38</v>
      </c>
      <c r="D748" s="1">
        <v>60000</v>
      </c>
      <c r="E748">
        <v>2</v>
      </c>
      <c r="F748" t="s">
        <v>13</v>
      </c>
      <c r="G748" t="s">
        <v>28</v>
      </c>
      <c r="H748" t="s">
        <v>15</v>
      </c>
      <c r="I748">
        <v>0</v>
      </c>
      <c r="J748" t="s">
        <v>46</v>
      </c>
      <c r="K748" t="s">
        <v>32</v>
      </c>
      <c r="L748">
        <v>56</v>
      </c>
      <c r="M748" t="str">
        <f t="shared" si="11"/>
        <v>Old 55+</v>
      </c>
      <c r="N748" t="s">
        <v>18</v>
      </c>
    </row>
    <row r="749" spans="1:14" x14ac:dyDescent="0.35">
      <c r="A749">
        <v>12957</v>
      </c>
      <c r="B749" t="s">
        <v>37</v>
      </c>
      <c r="C749" t="s">
        <v>38</v>
      </c>
      <c r="D749" s="1">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 55+</v>
      </c>
      <c r="N750" t="s">
        <v>18</v>
      </c>
    </row>
    <row r="751" spans="1:14" x14ac:dyDescent="0.35">
      <c r="A751">
        <v>20514</v>
      </c>
      <c r="B751" t="s">
        <v>36</v>
      </c>
      <c r="C751" t="s">
        <v>38</v>
      </c>
      <c r="D751" s="1">
        <v>70000</v>
      </c>
      <c r="E751">
        <v>2</v>
      </c>
      <c r="F751" t="s">
        <v>19</v>
      </c>
      <c r="G751" t="s">
        <v>21</v>
      </c>
      <c r="H751" t="s">
        <v>15</v>
      </c>
      <c r="I751">
        <v>1</v>
      </c>
      <c r="J751" t="s">
        <v>22</v>
      </c>
      <c r="K751" t="s">
        <v>32</v>
      </c>
      <c r="L751">
        <v>59</v>
      </c>
      <c r="M751" t="str">
        <f t="shared" si="11"/>
        <v>Old 55+</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37</v>
      </c>
      <c r="C755" t="s">
        <v>38</v>
      </c>
      <c r="D755" s="1">
        <v>40000</v>
      </c>
      <c r="E755">
        <v>0</v>
      </c>
      <c r="F755" t="s">
        <v>19</v>
      </c>
      <c r="G755" t="s">
        <v>14</v>
      </c>
      <c r="H755" t="s">
        <v>18</v>
      </c>
      <c r="I755">
        <v>1</v>
      </c>
      <c r="J755" t="s">
        <v>26</v>
      </c>
      <c r="K755" t="s">
        <v>32</v>
      </c>
      <c r="L755">
        <v>27</v>
      </c>
      <c r="M755" t="str">
        <f t="shared" si="11"/>
        <v>Adolescent 0-30</v>
      </c>
      <c r="N755" t="s">
        <v>18</v>
      </c>
    </row>
    <row r="756" spans="1:14" x14ac:dyDescent="0.35">
      <c r="A756">
        <v>23668</v>
      </c>
      <c r="B756" t="s">
        <v>36</v>
      </c>
      <c r="C756" t="s">
        <v>38</v>
      </c>
      <c r="D756" s="1">
        <v>40000</v>
      </c>
      <c r="E756">
        <v>4</v>
      </c>
      <c r="F756" t="s">
        <v>27</v>
      </c>
      <c r="G756" t="s">
        <v>21</v>
      </c>
      <c r="H756" t="s">
        <v>15</v>
      </c>
      <c r="I756">
        <v>2</v>
      </c>
      <c r="J756" t="s">
        <v>23</v>
      </c>
      <c r="K756" t="s">
        <v>32</v>
      </c>
      <c r="L756">
        <v>59</v>
      </c>
      <c r="M756" t="str">
        <f t="shared" si="11"/>
        <v>Old 55+</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37</v>
      </c>
      <c r="C760" t="s">
        <v>38</v>
      </c>
      <c r="D760" s="1">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37</v>
      </c>
      <c r="C761" t="s">
        <v>38</v>
      </c>
      <c r="D761" s="1">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36</v>
      </c>
      <c r="C763" t="s">
        <v>38</v>
      </c>
      <c r="D763" s="1">
        <v>60000</v>
      </c>
      <c r="E763">
        <v>5</v>
      </c>
      <c r="F763" t="s">
        <v>13</v>
      </c>
      <c r="G763" t="s">
        <v>28</v>
      </c>
      <c r="H763" t="s">
        <v>15</v>
      </c>
      <c r="I763">
        <v>3</v>
      </c>
      <c r="J763" t="s">
        <v>46</v>
      </c>
      <c r="K763" t="s">
        <v>32</v>
      </c>
      <c r="L763">
        <v>59</v>
      </c>
      <c r="M763" t="str">
        <f t="shared" si="11"/>
        <v>Old 55+</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36</v>
      </c>
      <c r="C766" t="s">
        <v>38</v>
      </c>
      <c r="D766" s="1">
        <v>60000</v>
      </c>
      <c r="E766">
        <v>0</v>
      </c>
      <c r="F766" t="s">
        <v>19</v>
      </c>
      <c r="G766" t="s">
        <v>14</v>
      </c>
      <c r="H766" t="s">
        <v>18</v>
      </c>
      <c r="I766">
        <v>1</v>
      </c>
      <c r="J766" t="s">
        <v>26</v>
      </c>
      <c r="K766" t="s">
        <v>32</v>
      </c>
      <c r="L766">
        <v>27</v>
      </c>
      <c r="M766" t="str">
        <f t="shared" si="11"/>
        <v>Adolescent 0-30</v>
      </c>
      <c r="N766" t="s">
        <v>18</v>
      </c>
    </row>
    <row r="767" spans="1:14" x14ac:dyDescent="0.35">
      <c r="A767">
        <v>16753</v>
      </c>
      <c r="B767" t="s">
        <v>37</v>
      </c>
      <c r="C767" t="s">
        <v>38</v>
      </c>
      <c r="D767" s="1">
        <v>70000</v>
      </c>
      <c r="E767">
        <v>0</v>
      </c>
      <c r="F767" t="s">
        <v>19</v>
      </c>
      <c r="G767" t="s">
        <v>14</v>
      </c>
      <c r="H767" t="s">
        <v>15</v>
      </c>
      <c r="I767">
        <v>2</v>
      </c>
      <c r="J767" t="s">
        <v>23</v>
      </c>
      <c r="K767" t="s">
        <v>32</v>
      </c>
      <c r="L767">
        <v>34</v>
      </c>
      <c r="M767" t="str">
        <f t="shared" si="11"/>
        <v>Middle age 31-54</v>
      </c>
      <c r="N767" t="s">
        <v>15</v>
      </c>
    </row>
    <row r="768" spans="1:14" x14ac:dyDescent="0.35">
      <c r="A768">
        <v>14608</v>
      </c>
      <c r="B768" t="s">
        <v>36</v>
      </c>
      <c r="C768" t="s">
        <v>39</v>
      </c>
      <c r="D768" s="1">
        <v>50000</v>
      </c>
      <c r="E768">
        <v>4</v>
      </c>
      <c r="F768" t="s">
        <v>13</v>
      </c>
      <c r="G768" t="s">
        <v>14</v>
      </c>
      <c r="H768" t="s">
        <v>15</v>
      </c>
      <c r="I768">
        <v>3</v>
      </c>
      <c r="J768" t="s">
        <v>46</v>
      </c>
      <c r="K768" t="s">
        <v>32</v>
      </c>
      <c r="L768">
        <v>42</v>
      </c>
      <c r="M768" t="str">
        <f t="shared" si="11"/>
        <v>Middle age 31-54</v>
      </c>
      <c r="N768" t="s">
        <v>18</v>
      </c>
    </row>
    <row r="769" spans="1:14" x14ac:dyDescent="0.35">
      <c r="A769">
        <v>24979</v>
      </c>
      <c r="B769" t="s">
        <v>36</v>
      </c>
      <c r="C769" t="s">
        <v>38</v>
      </c>
      <c r="D769" s="1">
        <v>60000</v>
      </c>
      <c r="E769">
        <v>2</v>
      </c>
      <c r="F769" t="s">
        <v>19</v>
      </c>
      <c r="G769" t="s">
        <v>21</v>
      </c>
      <c r="H769" t="s">
        <v>15</v>
      </c>
      <c r="I769">
        <v>2</v>
      </c>
      <c r="J769" t="s">
        <v>22</v>
      </c>
      <c r="K769" t="s">
        <v>32</v>
      </c>
      <c r="L769">
        <v>57</v>
      </c>
      <c r="M769" t="str">
        <f t="shared" si="11"/>
        <v>Old 55+</v>
      </c>
      <c r="N769" t="s">
        <v>15</v>
      </c>
    </row>
    <row r="770" spans="1:14" x14ac:dyDescent="0.35">
      <c r="A770">
        <v>13313</v>
      </c>
      <c r="B770" t="s">
        <v>36</v>
      </c>
      <c r="C770" t="s">
        <v>38</v>
      </c>
      <c r="D770" s="1">
        <v>120000</v>
      </c>
      <c r="E770">
        <v>1</v>
      </c>
      <c r="F770" t="s">
        <v>27</v>
      </c>
      <c r="G770" t="s">
        <v>21</v>
      </c>
      <c r="H770" t="s">
        <v>18</v>
      </c>
      <c r="I770">
        <v>4</v>
      </c>
      <c r="J770" t="s">
        <v>22</v>
      </c>
      <c r="K770" t="s">
        <v>32</v>
      </c>
      <c r="L770">
        <v>45</v>
      </c>
      <c r="M770" t="str">
        <f t="shared" si="11"/>
        <v>Middle age 31-54</v>
      </c>
      <c r="N770" t="s">
        <v>18</v>
      </c>
    </row>
    <row r="771" spans="1:14" x14ac:dyDescent="0.35">
      <c r="A771">
        <v>18952</v>
      </c>
      <c r="B771" t="s">
        <v>36</v>
      </c>
      <c r="C771" t="s">
        <v>38</v>
      </c>
      <c r="D771" s="1">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 55+</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36</v>
      </c>
      <c r="C775" t="s">
        <v>38</v>
      </c>
      <c r="D775" s="1">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36</v>
      </c>
      <c r="C776" t="s">
        <v>38</v>
      </c>
      <c r="D776" s="1">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36</v>
      </c>
      <c r="C777" t="s">
        <v>39</v>
      </c>
      <c r="D777" s="1">
        <v>70000</v>
      </c>
      <c r="E777">
        <v>2</v>
      </c>
      <c r="F777" t="s">
        <v>29</v>
      </c>
      <c r="G777" t="s">
        <v>14</v>
      </c>
      <c r="H777" t="s">
        <v>15</v>
      </c>
      <c r="I777">
        <v>2</v>
      </c>
      <c r="J777" t="s">
        <v>46</v>
      </c>
      <c r="K777" t="s">
        <v>32</v>
      </c>
      <c r="L777">
        <v>54</v>
      </c>
      <c r="M777" t="str">
        <f t="shared" si="12"/>
        <v>Middle age 31-54</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 55+</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Adolescent 0-30</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 31-54</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36</v>
      </c>
      <c r="C782" t="s">
        <v>38</v>
      </c>
      <c r="D782" s="1">
        <v>60000</v>
      </c>
      <c r="E782">
        <v>2</v>
      </c>
      <c r="F782" t="s">
        <v>19</v>
      </c>
      <c r="G782" t="s">
        <v>21</v>
      </c>
      <c r="H782" t="s">
        <v>15</v>
      </c>
      <c r="I782">
        <v>1</v>
      </c>
      <c r="J782" t="s">
        <v>46</v>
      </c>
      <c r="K782" t="s">
        <v>32</v>
      </c>
      <c r="L782">
        <v>55</v>
      </c>
      <c r="M782" t="str">
        <f t="shared" si="12"/>
        <v>Old 55+</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37</v>
      </c>
      <c r="C786" t="s">
        <v>38</v>
      </c>
      <c r="D786" s="1">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37</v>
      </c>
      <c r="C787" t="s">
        <v>38</v>
      </c>
      <c r="D787" s="1">
        <v>40000</v>
      </c>
      <c r="E787">
        <v>0</v>
      </c>
      <c r="F787" t="s">
        <v>27</v>
      </c>
      <c r="G787" t="s">
        <v>14</v>
      </c>
      <c r="H787" t="s">
        <v>18</v>
      </c>
      <c r="I787">
        <v>2</v>
      </c>
      <c r="J787" t="s">
        <v>16</v>
      </c>
      <c r="K787" t="s">
        <v>32</v>
      </c>
      <c r="L787">
        <v>28</v>
      </c>
      <c r="M787" t="str">
        <f t="shared" si="12"/>
        <v>Adolescent 0-30</v>
      </c>
      <c r="N787" t="s">
        <v>15</v>
      </c>
    </row>
    <row r="788" spans="1:14" x14ac:dyDescent="0.35">
      <c r="A788">
        <v>15468</v>
      </c>
      <c r="B788" t="s">
        <v>36</v>
      </c>
      <c r="C788" t="s">
        <v>38</v>
      </c>
      <c r="D788" s="1">
        <v>50000</v>
      </c>
      <c r="E788">
        <v>1</v>
      </c>
      <c r="F788" t="s">
        <v>13</v>
      </c>
      <c r="G788" t="s">
        <v>14</v>
      </c>
      <c r="H788" t="s">
        <v>15</v>
      </c>
      <c r="I788">
        <v>1</v>
      </c>
      <c r="J788" t="s">
        <v>16</v>
      </c>
      <c r="K788" t="s">
        <v>32</v>
      </c>
      <c r="L788">
        <v>35</v>
      </c>
      <c r="M788" t="str">
        <f t="shared" si="12"/>
        <v>Middle age 31-54</v>
      </c>
      <c r="N788" t="s">
        <v>18</v>
      </c>
    </row>
    <row r="789" spans="1:14" x14ac:dyDescent="0.35">
      <c r="A789">
        <v>28031</v>
      </c>
      <c r="B789" t="s">
        <v>37</v>
      </c>
      <c r="C789" t="s">
        <v>38</v>
      </c>
      <c r="D789" s="1">
        <v>70000</v>
      </c>
      <c r="E789">
        <v>2</v>
      </c>
      <c r="F789" t="s">
        <v>13</v>
      </c>
      <c r="G789" t="s">
        <v>28</v>
      </c>
      <c r="H789" t="s">
        <v>18</v>
      </c>
      <c r="I789">
        <v>1</v>
      </c>
      <c r="J789" t="s">
        <v>22</v>
      </c>
      <c r="K789" t="s">
        <v>32</v>
      </c>
      <c r="L789">
        <v>59</v>
      </c>
      <c r="M789" t="str">
        <f t="shared" si="12"/>
        <v>Old 55+</v>
      </c>
      <c r="N789" t="s">
        <v>15</v>
      </c>
    </row>
    <row r="790" spans="1:14" x14ac:dyDescent="0.35">
      <c r="A790">
        <v>26270</v>
      </c>
      <c r="B790" t="s">
        <v>37</v>
      </c>
      <c r="C790" t="s">
        <v>38</v>
      </c>
      <c r="D790" s="1">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37</v>
      </c>
      <c r="C792" t="s">
        <v>38</v>
      </c>
      <c r="D792" s="1">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Adolescent 0-30</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 31-54</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 55+</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 55+</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Adolescent 0-30</v>
      </c>
      <c r="N799" t="s">
        <v>15</v>
      </c>
    </row>
    <row r="800" spans="1:14" x14ac:dyDescent="0.35">
      <c r="A800">
        <v>22971</v>
      </c>
      <c r="B800" t="s">
        <v>37</v>
      </c>
      <c r="C800" t="s">
        <v>38</v>
      </c>
      <c r="D800" s="1">
        <v>30000</v>
      </c>
      <c r="E800">
        <v>0</v>
      </c>
      <c r="F800" t="s">
        <v>27</v>
      </c>
      <c r="G800" t="s">
        <v>14</v>
      </c>
      <c r="H800" t="s">
        <v>18</v>
      </c>
      <c r="I800">
        <v>2</v>
      </c>
      <c r="J800" t="s">
        <v>16</v>
      </c>
      <c r="K800" t="s">
        <v>32</v>
      </c>
      <c r="L800">
        <v>25</v>
      </c>
      <c r="M800" t="str">
        <f t="shared" si="12"/>
        <v>Adolescent 0-30</v>
      </c>
      <c r="N800" t="s">
        <v>15</v>
      </c>
    </row>
    <row r="801" spans="1:14" x14ac:dyDescent="0.35">
      <c r="A801">
        <v>15287</v>
      </c>
      <c r="B801" t="s">
        <v>37</v>
      </c>
      <c r="C801" t="s">
        <v>38</v>
      </c>
      <c r="D801" s="1">
        <v>50000</v>
      </c>
      <c r="E801">
        <v>1</v>
      </c>
      <c r="F801" t="s">
        <v>31</v>
      </c>
      <c r="G801" t="s">
        <v>14</v>
      </c>
      <c r="H801" t="s">
        <v>15</v>
      </c>
      <c r="I801">
        <v>0</v>
      </c>
      <c r="J801" t="s">
        <v>26</v>
      </c>
      <c r="K801" t="s">
        <v>32</v>
      </c>
      <c r="L801">
        <v>33</v>
      </c>
      <c r="M801" t="str">
        <f t="shared" si="12"/>
        <v>Middle age 31-54</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 55+</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Adolescent 0-30</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Adolescent 0-30</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Adolescent 0-30</v>
      </c>
      <c r="N806" t="s">
        <v>15</v>
      </c>
    </row>
    <row r="807" spans="1:14" x14ac:dyDescent="0.35">
      <c r="A807">
        <v>26778</v>
      </c>
      <c r="B807" t="s">
        <v>37</v>
      </c>
      <c r="C807" t="s">
        <v>38</v>
      </c>
      <c r="D807" s="1">
        <v>40000</v>
      </c>
      <c r="E807">
        <v>0</v>
      </c>
      <c r="F807" t="s">
        <v>27</v>
      </c>
      <c r="G807" t="s">
        <v>14</v>
      </c>
      <c r="H807" t="s">
        <v>15</v>
      </c>
      <c r="I807">
        <v>2</v>
      </c>
      <c r="J807" t="s">
        <v>23</v>
      </c>
      <c r="K807" t="s">
        <v>32</v>
      </c>
      <c r="L807">
        <v>31</v>
      </c>
      <c r="M807" t="str">
        <f t="shared" si="12"/>
        <v>Middle age 31-54</v>
      </c>
      <c r="N807" t="s">
        <v>18</v>
      </c>
    </row>
    <row r="808" spans="1:14" x14ac:dyDescent="0.35">
      <c r="A808">
        <v>23248</v>
      </c>
      <c r="B808" t="s">
        <v>36</v>
      </c>
      <c r="C808" t="s">
        <v>38</v>
      </c>
      <c r="D808" s="1">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37</v>
      </c>
      <c r="C809" t="s">
        <v>38</v>
      </c>
      <c r="D809" s="1">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36</v>
      </c>
      <c r="C811" t="s">
        <v>38</v>
      </c>
      <c r="D811" s="1">
        <v>40000</v>
      </c>
      <c r="E811">
        <v>4</v>
      </c>
      <c r="F811" t="s">
        <v>27</v>
      </c>
      <c r="G811" t="s">
        <v>21</v>
      </c>
      <c r="H811" t="s">
        <v>15</v>
      </c>
      <c r="I811">
        <v>2</v>
      </c>
      <c r="J811" t="s">
        <v>23</v>
      </c>
      <c r="K811" t="s">
        <v>32</v>
      </c>
      <c r="L811">
        <v>69</v>
      </c>
      <c r="M811" t="str">
        <f t="shared" si="12"/>
        <v>Old 55+</v>
      </c>
      <c r="N811" t="s">
        <v>18</v>
      </c>
    </row>
    <row r="812" spans="1:14" x14ac:dyDescent="0.35">
      <c r="A812">
        <v>20376</v>
      </c>
      <c r="B812" t="s">
        <v>37</v>
      </c>
      <c r="C812" t="s">
        <v>38</v>
      </c>
      <c r="D812" s="1">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 31-54</v>
      </c>
      <c r="N813" t="s">
        <v>18</v>
      </c>
    </row>
    <row r="814" spans="1:14" x14ac:dyDescent="0.35">
      <c r="A814">
        <v>15749</v>
      </c>
      <c r="B814" t="s">
        <v>37</v>
      </c>
      <c r="C814" t="s">
        <v>38</v>
      </c>
      <c r="D814" s="1">
        <v>70000</v>
      </c>
      <c r="E814">
        <v>4</v>
      </c>
      <c r="F814" t="s">
        <v>13</v>
      </c>
      <c r="G814" t="s">
        <v>28</v>
      </c>
      <c r="H814" t="s">
        <v>15</v>
      </c>
      <c r="I814">
        <v>2</v>
      </c>
      <c r="J814" t="s">
        <v>46</v>
      </c>
      <c r="K814" t="s">
        <v>32</v>
      </c>
      <c r="L814">
        <v>61</v>
      </c>
      <c r="M814" t="str">
        <f t="shared" si="12"/>
        <v>Old 55+</v>
      </c>
      <c r="N814" t="s">
        <v>18</v>
      </c>
    </row>
    <row r="815" spans="1:14" x14ac:dyDescent="0.35">
      <c r="A815">
        <v>25899</v>
      </c>
      <c r="B815" t="s">
        <v>36</v>
      </c>
      <c r="C815" t="s">
        <v>38</v>
      </c>
      <c r="D815" s="1">
        <v>70000</v>
      </c>
      <c r="E815">
        <v>2</v>
      </c>
      <c r="F815" t="s">
        <v>27</v>
      </c>
      <c r="G815" t="s">
        <v>21</v>
      </c>
      <c r="H815" t="s">
        <v>15</v>
      </c>
      <c r="I815">
        <v>2</v>
      </c>
      <c r="J815" t="s">
        <v>46</v>
      </c>
      <c r="K815" t="s">
        <v>32</v>
      </c>
      <c r="L815">
        <v>53</v>
      </c>
      <c r="M815" t="str">
        <f t="shared" si="12"/>
        <v>Middle age 31-54</v>
      </c>
      <c r="N815" t="s">
        <v>18</v>
      </c>
    </row>
    <row r="816" spans="1:14" x14ac:dyDescent="0.35">
      <c r="A816">
        <v>13351</v>
      </c>
      <c r="B816" t="s">
        <v>37</v>
      </c>
      <c r="C816" t="s">
        <v>38</v>
      </c>
      <c r="D816" s="1">
        <v>70000</v>
      </c>
      <c r="E816">
        <v>4</v>
      </c>
      <c r="F816" t="s">
        <v>13</v>
      </c>
      <c r="G816" t="s">
        <v>28</v>
      </c>
      <c r="H816" t="s">
        <v>15</v>
      </c>
      <c r="I816">
        <v>2</v>
      </c>
      <c r="J816" t="s">
        <v>26</v>
      </c>
      <c r="K816" t="s">
        <v>32</v>
      </c>
      <c r="L816">
        <v>62</v>
      </c>
      <c r="M816" t="str">
        <f t="shared" si="12"/>
        <v>Old 55+</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Adolescent 0-30</v>
      </c>
      <c r="N817" t="s">
        <v>18</v>
      </c>
    </row>
    <row r="818" spans="1:14" x14ac:dyDescent="0.35">
      <c r="A818">
        <v>21660</v>
      </c>
      <c r="B818" t="s">
        <v>36</v>
      </c>
      <c r="C818" t="s">
        <v>38</v>
      </c>
      <c r="D818" s="1">
        <v>60000</v>
      </c>
      <c r="E818">
        <v>3</v>
      </c>
      <c r="F818" t="s">
        <v>31</v>
      </c>
      <c r="G818" t="s">
        <v>21</v>
      </c>
      <c r="H818" t="s">
        <v>15</v>
      </c>
      <c r="I818">
        <v>0</v>
      </c>
      <c r="J818" t="s">
        <v>22</v>
      </c>
      <c r="K818" t="s">
        <v>32</v>
      </c>
      <c r="L818">
        <v>43</v>
      </c>
      <c r="M818" t="str">
        <f t="shared" si="12"/>
        <v>Middle age 31-54</v>
      </c>
      <c r="N818" t="s">
        <v>15</v>
      </c>
    </row>
    <row r="819" spans="1:14" x14ac:dyDescent="0.35">
      <c r="A819">
        <v>17012</v>
      </c>
      <c r="B819" t="s">
        <v>36</v>
      </c>
      <c r="C819" t="s">
        <v>38</v>
      </c>
      <c r="D819" s="1">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Adolescent 0-30</v>
      </c>
      <c r="N820" t="s">
        <v>18</v>
      </c>
    </row>
    <row r="821" spans="1:14" x14ac:dyDescent="0.35">
      <c r="A821">
        <v>27505</v>
      </c>
      <c r="B821" t="s">
        <v>37</v>
      </c>
      <c r="C821" t="s">
        <v>38</v>
      </c>
      <c r="D821" s="1">
        <v>40000</v>
      </c>
      <c r="E821">
        <v>0</v>
      </c>
      <c r="F821" t="s">
        <v>27</v>
      </c>
      <c r="G821" t="s">
        <v>14</v>
      </c>
      <c r="H821" t="s">
        <v>15</v>
      </c>
      <c r="I821">
        <v>2</v>
      </c>
      <c r="J821" t="s">
        <v>23</v>
      </c>
      <c r="K821" t="s">
        <v>32</v>
      </c>
      <c r="L821">
        <v>30</v>
      </c>
      <c r="M821" t="str">
        <f t="shared" si="12"/>
        <v>Adolescent 0-30</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 31-54</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37</v>
      </c>
      <c r="C825" t="s">
        <v>38</v>
      </c>
      <c r="D825" s="1">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37</v>
      </c>
      <c r="C829" t="s">
        <v>38</v>
      </c>
      <c r="D829" s="1">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37</v>
      </c>
      <c r="C830" t="s">
        <v>38</v>
      </c>
      <c r="D830" s="1">
        <v>40000</v>
      </c>
      <c r="E830">
        <v>0</v>
      </c>
      <c r="F830" t="s">
        <v>29</v>
      </c>
      <c r="G830" t="s">
        <v>20</v>
      </c>
      <c r="H830" t="s">
        <v>15</v>
      </c>
      <c r="I830">
        <v>2</v>
      </c>
      <c r="J830" t="s">
        <v>23</v>
      </c>
      <c r="K830" t="s">
        <v>32</v>
      </c>
      <c r="L830">
        <v>26</v>
      </c>
      <c r="M830" t="str">
        <f t="shared" si="12"/>
        <v>Adolescent 0-30</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 55+</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36</v>
      </c>
      <c r="C833" t="s">
        <v>38</v>
      </c>
      <c r="D833" s="1">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36</v>
      </c>
      <c r="C834" t="s">
        <v>38</v>
      </c>
      <c r="D834" s="1">
        <v>60000</v>
      </c>
      <c r="E834">
        <v>0</v>
      </c>
      <c r="F834" t="s">
        <v>31</v>
      </c>
      <c r="G834" t="s">
        <v>21</v>
      </c>
      <c r="H834" t="s">
        <v>15</v>
      </c>
      <c r="I834">
        <v>0</v>
      </c>
      <c r="J834" t="s">
        <v>16</v>
      </c>
      <c r="K834" t="s">
        <v>32</v>
      </c>
      <c r="L834">
        <v>39</v>
      </c>
      <c r="M834" t="str">
        <f t="shared" si="12"/>
        <v>Middle age 31-54</v>
      </c>
      <c r="N834" t="s">
        <v>18</v>
      </c>
    </row>
    <row r="835" spans="1:14" x14ac:dyDescent="0.35">
      <c r="A835">
        <v>27540</v>
      </c>
      <c r="B835" t="s">
        <v>37</v>
      </c>
      <c r="C835" t="s">
        <v>38</v>
      </c>
      <c r="D835" s="1">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5">
      <c r="A836">
        <v>19889</v>
      </c>
      <c r="B836" t="s">
        <v>37</v>
      </c>
      <c r="C836" t="s">
        <v>38</v>
      </c>
      <c r="D836" s="1">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37</v>
      </c>
      <c r="C837" t="s">
        <v>38</v>
      </c>
      <c r="D837" s="1">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36</v>
      </c>
      <c r="C838" t="s">
        <v>38</v>
      </c>
      <c r="D838" s="1">
        <v>40000</v>
      </c>
      <c r="E838">
        <v>0</v>
      </c>
      <c r="F838" t="s">
        <v>19</v>
      </c>
      <c r="G838" t="s">
        <v>14</v>
      </c>
      <c r="H838" t="s">
        <v>15</v>
      </c>
      <c r="I838">
        <v>2</v>
      </c>
      <c r="J838" t="s">
        <v>23</v>
      </c>
      <c r="K838" t="s">
        <v>32</v>
      </c>
      <c r="L838">
        <v>28</v>
      </c>
      <c r="M838" t="str">
        <f t="shared" si="13"/>
        <v>Adolescent 0-30</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 31-54</v>
      </c>
      <c r="N839" t="s">
        <v>18</v>
      </c>
    </row>
    <row r="840" spans="1:14" x14ac:dyDescent="0.35">
      <c r="A840">
        <v>19143</v>
      </c>
      <c r="B840" t="s">
        <v>37</v>
      </c>
      <c r="C840" t="s">
        <v>38</v>
      </c>
      <c r="D840" s="1">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37</v>
      </c>
      <c r="C841" t="s">
        <v>38</v>
      </c>
      <c r="D841" s="1">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36</v>
      </c>
      <c r="C842" t="s">
        <v>39</v>
      </c>
      <c r="D842" s="1">
        <v>70000</v>
      </c>
      <c r="E842">
        <v>4</v>
      </c>
      <c r="F842" t="s">
        <v>19</v>
      </c>
      <c r="G842" t="s">
        <v>21</v>
      </c>
      <c r="H842" t="s">
        <v>15</v>
      </c>
      <c r="I842">
        <v>2</v>
      </c>
      <c r="J842" t="s">
        <v>46</v>
      </c>
      <c r="K842" t="s">
        <v>32</v>
      </c>
      <c r="L842">
        <v>53</v>
      </c>
      <c r="M842" t="str">
        <f t="shared" si="13"/>
        <v>Middle age 31-54</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 55+</v>
      </c>
      <c r="N843" t="s">
        <v>18</v>
      </c>
    </row>
    <row r="844" spans="1:14" x14ac:dyDescent="0.35">
      <c r="A844">
        <v>15555</v>
      </c>
      <c r="B844" t="s">
        <v>36</v>
      </c>
      <c r="C844" t="s">
        <v>38</v>
      </c>
      <c r="D844" s="1">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36</v>
      </c>
      <c r="C846" t="s">
        <v>38</v>
      </c>
      <c r="D846" s="1">
        <v>40000</v>
      </c>
      <c r="E846">
        <v>5</v>
      </c>
      <c r="F846" t="s">
        <v>27</v>
      </c>
      <c r="G846" t="s">
        <v>21</v>
      </c>
      <c r="H846" t="s">
        <v>15</v>
      </c>
      <c r="I846">
        <v>2</v>
      </c>
      <c r="J846" t="s">
        <v>46</v>
      </c>
      <c r="K846" t="s">
        <v>32</v>
      </c>
      <c r="L846">
        <v>60</v>
      </c>
      <c r="M846" t="str">
        <f t="shared" si="13"/>
        <v>Old 55+</v>
      </c>
      <c r="N846" t="s">
        <v>18</v>
      </c>
    </row>
    <row r="847" spans="1:14" x14ac:dyDescent="0.35">
      <c r="A847">
        <v>25343</v>
      </c>
      <c r="B847" t="s">
        <v>37</v>
      </c>
      <c r="C847" t="s">
        <v>38</v>
      </c>
      <c r="D847" s="1">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36</v>
      </c>
      <c r="C848" t="s">
        <v>38</v>
      </c>
      <c r="D848" s="1">
        <v>70000</v>
      </c>
      <c r="E848">
        <v>4</v>
      </c>
      <c r="F848" t="s">
        <v>19</v>
      </c>
      <c r="G848" t="s">
        <v>21</v>
      </c>
      <c r="H848" t="s">
        <v>18</v>
      </c>
      <c r="I848">
        <v>1</v>
      </c>
      <c r="J848" t="s">
        <v>26</v>
      </c>
      <c r="K848" t="s">
        <v>32</v>
      </c>
      <c r="L848">
        <v>56</v>
      </c>
      <c r="M848" t="str">
        <f t="shared" si="13"/>
        <v>Old 55+</v>
      </c>
      <c r="N848" t="s">
        <v>18</v>
      </c>
    </row>
    <row r="849" spans="1:14" x14ac:dyDescent="0.35">
      <c r="A849">
        <v>17482</v>
      </c>
      <c r="B849" t="s">
        <v>37</v>
      </c>
      <c r="C849" t="s">
        <v>38</v>
      </c>
      <c r="D849" s="1">
        <v>40000</v>
      </c>
      <c r="E849">
        <v>0</v>
      </c>
      <c r="F849" t="s">
        <v>29</v>
      </c>
      <c r="G849" t="s">
        <v>20</v>
      </c>
      <c r="H849" t="s">
        <v>15</v>
      </c>
      <c r="I849">
        <v>2</v>
      </c>
      <c r="J849" t="s">
        <v>23</v>
      </c>
      <c r="K849" t="s">
        <v>32</v>
      </c>
      <c r="L849">
        <v>29</v>
      </c>
      <c r="M849" t="str">
        <f t="shared" si="13"/>
        <v>Adolescent 0-30</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 31-54</v>
      </c>
      <c r="N850" t="s">
        <v>15</v>
      </c>
    </row>
    <row r="851" spans="1:14" x14ac:dyDescent="0.35">
      <c r="A851">
        <v>20504</v>
      </c>
      <c r="B851" t="s">
        <v>36</v>
      </c>
      <c r="C851" t="s">
        <v>38</v>
      </c>
      <c r="D851" s="1">
        <v>40000</v>
      </c>
      <c r="E851">
        <v>5</v>
      </c>
      <c r="F851" t="s">
        <v>27</v>
      </c>
      <c r="G851" t="s">
        <v>21</v>
      </c>
      <c r="H851" t="s">
        <v>18</v>
      </c>
      <c r="I851">
        <v>2</v>
      </c>
      <c r="J851" t="s">
        <v>22</v>
      </c>
      <c r="K851" t="s">
        <v>32</v>
      </c>
      <c r="L851">
        <v>60</v>
      </c>
      <c r="M851" t="str">
        <f t="shared" si="13"/>
        <v>Old 55+</v>
      </c>
      <c r="N851" t="s">
        <v>18</v>
      </c>
    </row>
    <row r="852" spans="1:14" x14ac:dyDescent="0.35">
      <c r="A852">
        <v>12205</v>
      </c>
      <c r="B852" t="s">
        <v>37</v>
      </c>
      <c r="C852" t="s">
        <v>38</v>
      </c>
      <c r="D852" s="1">
        <v>130000</v>
      </c>
      <c r="E852">
        <v>2</v>
      </c>
      <c r="F852" t="s">
        <v>13</v>
      </c>
      <c r="G852" t="s">
        <v>28</v>
      </c>
      <c r="H852" t="s">
        <v>18</v>
      </c>
      <c r="I852">
        <v>4</v>
      </c>
      <c r="J852" t="s">
        <v>16</v>
      </c>
      <c r="K852" t="s">
        <v>32</v>
      </c>
      <c r="L852">
        <v>67</v>
      </c>
      <c r="M852" t="str">
        <f t="shared" si="13"/>
        <v>Old 55+</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36</v>
      </c>
      <c r="C856" t="s">
        <v>38</v>
      </c>
      <c r="D856" s="1">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37</v>
      </c>
      <c r="C857" t="s">
        <v>38</v>
      </c>
      <c r="D857" s="1">
        <v>30000</v>
      </c>
      <c r="E857">
        <v>0</v>
      </c>
      <c r="F857" t="s">
        <v>19</v>
      </c>
      <c r="G857" t="s">
        <v>14</v>
      </c>
      <c r="H857" t="s">
        <v>18</v>
      </c>
      <c r="I857">
        <v>1</v>
      </c>
      <c r="J857" t="s">
        <v>26</v>
      </c>
      <c r="K857" t="s">
        <v>32</v>
      </c>
      <c r="L857">
        <v>31</v>
      </c>
      <c r="M857" t="str">
        <f t="shared" si="13"/>
        <v>Middle age 31-54</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Adolescent 0-30</v>
      </c>
      <c r="N858" t="s">
        <v>18</v>
      </c>
    </row>
    <row r="859" spans="1:14" x14ac:dyDescent="0.35">
      <c r="A859">
        <v>11745</v>
      </c>
      <c r="B859" t="s">
        <v>36</v>
      </c>
      <c r="C859" t="s">
        <v>38</v>
      </c>
      <c r="D859" s="1">
        <v>60000</v>
      </c>
      <c r="E859">
        <v>1</v>
      </c>
      <c r="F859" t="s">
        <v>13</v>
      </c>
      <c r="G859" t="s">
        <v>21</v>
      </c>
      <c r="H859" t="s">
        <v>15</v>
      </c>
      <c r="I859">
        <v>1</v>
      </c>
      <c r="J859" t="s">
        <v>16</v>
      </c>
      <c r="K859" t="s">
        <v>32</v>
      </c>
      <c r="L859">
        <v>47</v>
      </c>
      <c r="M859" t="str">
        <f t="shared" si="13"/>
        <v>Middle age 31-54</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36</v>
      </c>
      <c r="C863" t="s">
        <v>38</v>
      </c>
      <c r="D863" s="1">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 31-54</v>
      </c>
      <c r="N866" t="s">
        <v>18</v>
      </c>
    </row>
    <row r="867" spans="1:14" x14ac:dyDescent="0.35">
      <c r="A867">
        <v>22046</v>
      </c>
      <c r="B867" t="s">
        <v>37</v>
      </c>
      <c r="C867" t="s">
        <v>38</v>
      </c>
      <c r="D867" s="1">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36</v>
      </c>
      <c r="C868" t="s">
        <v>39</v>
      </c>
      <c r="D868" s="1">
        <v>60000</v>
      </c>
      <c r="E868">
        <v>2</v>
      </c>
      <c r="F868" t="s">
        <v>27</v>
      </c>
      <c r="G868" t="s">
        <v>21</v>
      </c>
      <c r="H868" t="s">
        <v>15</v>
      </c>
      <c r="I868">
        <v>2</v>
      </c>
      <c r="J868" t="s">
        <v>46</v>
      </c>
      <c r="K868" t="s">
        <v>32</v>
      </c>
      <c r="L868">
        <v>55</v>
      </c>
      <c r="M868" t="str">
        <f t="shared" si="13"/>
        <v>Old 55+</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37</v>
      </c>
      <c r="C870" t="s">
        <v>39</v>
      </c>
      <c r="D870" s="1">
        <v>30000</v>
      </c>
      <c r="E870">
        <v>5</v>
      </c>
      <c r="F870" t="s">
        <v>29</v>
      </c>
      <c r="G870" t="s">
        <v>14</v>
      </c>
      <c r="H870" t="s">
        <v>15</v>
      </c>
      <c r="I870">
        <v>3</v>
      </c>
      <c r="J870" t="s">
        <v>46</v>
      </c>
      <c r="K870" t="s">
        <v>32</v>
      </c>
      <c r="L870">
        <v>60</v>
      </c>
      <c r="M870" t="str">
        <f t="shared" si="13"/>
        <v>Old 55+</v>
      </c>
      <c r="N870" t="s">
        <v>15</v>
      </c>
    </row>
    <row r="871" spans="1:14" x14ac:dyDescent="0.35">
      <c r="A871">
        <v>26065</v>
      </c>
      <c r="B871" t="s">
        <v>37</v>
      </c>
      <c r="C871" t="s">
        <v>38</v>
      </c>
      <c r="D871" s="1">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36</v>
      </c>
      <c r="C873" t="s">
        <v>39</v>
      </c>
      <c r="D873" s="1">
        <v>60000</v>
      </c>
      <c r="E873">
        <v>2</v>
      </c>
      <c r="F873" t="s">
        <v>27</v>
      </c>
      <c r="G873" t="s">
        <v>21</v>
      </c>
      <c r="H873" t="s">
        <v>15</v>
      </c>
      <c r="I873">
        <v>2</v>
      </c>
      <c r="J873" t="s">
        <v>46</v>
      </c>
      <c r="K873" t="s">
        <v>32</v>
      </c>
      <c r="L873">
        <v>55</v>
      </c>
      <c r="M873" t="str">
        <f t="shared" si="13"/>
        <v>Old 55+</v>
      </c>
      <c r="N873" t="s">
        <v>18</v>
      </c>
    </row>
    <row r="874" spans="1:14" x14ac:dyDescent="0.35">
      <c r="A874">
        <v>22118</v>
      </c>
      <c r="B874" t="s">
        <v>37</v>
      </c>
      <c r="C874" t="s">
        <v>38</v>
      </c>
      <c r="D874" s="1">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36</v>
      </c>
      <c r="C876" t="s">
        <v>38</v>
      </c>
      <c r="D876" s="1">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37</v>
      </c>
      <c r="C877" t="s">
        <v>38</v>
      </c>
      <c r="D877" s="1">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Adolescent 0-30</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 55+</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 55+</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36</v>
      </c>
      <c r="C883" t="s">
        <v>38</v>
      </c>
      <c r="D883" s="1">
        <v>80000</v>
      </c>
      <c r="E883">
        <v>4</v>
      </c>
      <c r="F883" t="s">
        <v>31</v>
      </c>
      <c r="G883" t="s">
        <v>28</v>
      </c>
      <c r="H883" t="s">
        <v>15</v>
      </c>
      <c r="I883">
        <v>2</v>
      </c>
      <c r="J883" t="s">
        <v>16</v>
      </c>
      <c r="K883" t="s">
        <v>32</v>
      </c>
      <c r="L883">
        <v>72</v>
      </c>
      <c r="M883" t="str">
        <f t="shared" si="13"/>
        <v>Old 55+</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36</v>
      </c>
      <c r="C885" t="s">
        <v>38</v>
      </c>
      <c r="D885" s="1">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 55+</v>
      </c>
      <c r="N886" t="s">
        <v>18</v>
      </c>
    </row>
    <row r="887" spans="1:14" x14ac:dyDescent="0.35">
      <c r="A887">
        <v>23801</v>
      </c>
      <c r="B887" t="s">
        <v>36</v>
      </c>
      <c r="C887" t="s">
        <v>38</v>
      </c>
      <c r="D887" s="1">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37</v>
      </c>
      <c r="C890" t="s">
        <v>38</v>
      </c>
      <c r="D890" s="1">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36</v>
      </c>
      <c r="C891" t="s">
        <v>38</v>
      </c>
      <c r="D891" s="1">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36</v>
      </c>
      <c r="C892" t="s">
        <v>38</v>
      </c>
      <c r="D892" s="1">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 55+</v>
      </c>
      <c r="N893" t="s">
        <v>15</v>
      </c>
    </row>
    <row r="894" spans="1:14" x14ac:dyDescent="0.35">
      <c r="A894">
        <v>17000</v>
      </c>
      <c r="B894" t="s">
        <v>37</v>
      </c>
      <c r="C894" t="s">
        <v>38</v>
      </c>
      <c r="D894" s="1">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36</v>
      </c>
      <c r="C897" t="s">
        <v>38</v>
      </c>
      <c r="D897" s="1">
        <v>50000</v>
      </c>
      <c r="E897">
        <v>4</v>
      </c>
      <c r="F897" t="s">
        <v>13</v>
      </c>
      <c r="G897" t="s">
        <v>28</v>
      </c>
      <c r="H897" t="s">
        <v>15</v>
      </c>
      <c r="I897">
        <v>2</v>
      </c>
      <c r="J897" t="s">
        <v>26</v>
      </c>
      <c r="K897" t="s">
        <v>32</v>
      </c>
      <c r="L897">
        <v>64</v>
      </c>
      <c r="M897" t="str">
        <f t="shared" si="13"/>
        <v>Old 55+</v>
      </c>
      <c r="N897" t="s">
        <v>15</v>
      </c>
    </row>
    <row r="898" spans="1:14" x14ac:dyDescent="0.35">
      <c r="A898">
        <v>21583</v>
      </c>
      <c r="B898" t="s">
        <v>36</v>
      </c>
      <c r="C898" t="s">
        <v>38</v>
      </c>
      <c r="D898" s="1">
        <v>50000</v>
      </c>
      <c r="E898">
        <v>1</v>
      </c>
      <c r="F898" t="s">
        <v>13</v>
      </c>
      <c r="G898" t="s">
        <v>14</v>
      </c>
      <c r="H898" t="s">
        <v>15</v>
      </c>
      <c r="I898">
        <v>0</v>
      </c>
      <c r="J898" t="s">
        <v>16</v>
      </c>
      <c r="K898" t="s">
        <v>32</v>
      </c>
      <c r="L898">
        <v>34</v>
      </c>
      <c r="M898" t="str">
        <f t="shared" si="13"/>
        <v>Middle age 31-54</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5">
      <c r="A900">
        <v>18066</v>
      </c>
      <c r="B900" t="s">
        <v>37</v>
      </c>
      <c r="C900" t="s">
        <v>39</v>
      </c>
      <c r="D900" s="1">
        <v>70000</v>
      </c>
      <c r="E900">
        <v>5</v>
      </c>
      <c r="F900" t="s">
        <v>13</v>
      </c>
      <c r="G900" t="s">
        <v>28</v>
      </c>
      <c r="H900" t="s">
        <v>15</v>
      </c>
      <c r="I900">
        <v>3</v>
      </c>
      <c r="J900" t="s">
        <v>46</v>
      </c>
      <c r="K900" t="s">
        <v>32</v>
      </c>
      <c r="L900">
        <v>60</v>
      </c>
      <c r="M900" t="str">
        <f t="shared" si="14"/>
        <v>Old 55+</v>
      </c>
      <c r="N900" t="s">
        <v>15</v>
      </c>
    </row>
    <row r="901" spans="1:14" x14ac:dyDescent="0.35">
      <c r="A901">
        <v>28192</v>
      </c>
      <c r="B901" t="s">
        <v>36</v>
      </c>
      <c r="C901" t="s">
        <v>38</v>
      </c>
      <c r="D901" s="1">
        <v>70000</v>
      </c>
      <c r="E901">
        <v>5</v>
      </c>
      <c r="F901" t="s">
        <v>31</v>
      </c>
      <c r="G901" t="s">
        <v>21</v>
      </c>
      <c r="H901" t="s">
        <v>15</v>
      </c>
      <c r="I901">
        <v>3</v>
      </c>
      <c r="J901" t="s">
        <v>46</v>
      </c>
      <c r="K901" t="s">
        <v>32</v>
      </c>
      <c r="L901">
        <v>46</v>
      </c>
      <c r="M901" t="str">
        <f t="shared" si="14"/>
        <v>Middle age 31-54</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37</v>
      </c>
      <c r="C903" t="s">
        <v>38</v>
      </c>
      <c r="D903" s="1">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 55+</v>
      </c>
      <c r="N905" t="s">
        <v>18</v>
      </c>
    </row>
    <row r="906" spans="1:14" x14ac:dyDescent="0.35">
      <c r="A906">
        <v>26305</v>
      </c>
      <c r="B906" t="s">
        <v>37</v>
      </c>
      <c r="C906" t="s">
        <v>38</v>
      </c>
      <c r="D906" s="1">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36</v>
      </c>
      <c r="C909" t="s">
        <v>39</v>
      </c>
      <c r="D909" s="1">
        <v>50000</v>
      </c>
      <c r="E909">
        <v>4</v>
      </c>
      <c r="F909" t="s">
        <v>13</v>
      </c>
      <c r="G909" t="s">
        <v>28</v>
      </c>
      <c r="H909" t="s">
        <v>15</v>
      </c>
      <c r="I909">
        <v>2</v>
      </c>
      <c r="J909" t="s">
        <v>46</v>
      </c>
      <c r="K909" t="s">
        <v>32</v>
      </c>
      <c r="L909">
        <v>63</v>
      </c>
      <c r="M909" t="str">
        <f t="shared" si="14"/>
        <v>Old 55+</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36</v>
      </c>
      <c r="C913" t="s">
        <v>38</v>
      </c>
      <c r="D913" s="1">
        <v>80000</v>
      </c>
      <c r="E913">
        <v>5</v>
      </c>
      <c r="F913" t="s">
        <v>13</v>
      </c>
      <c r="G913" t="s">
        <v>28</v>
      </c>
      <c r="H913" t="s">
        <v>15</v>
      </c>
      <c r="I913">
        <v>2</v>
      </c>
      <c r="J913" t="s">
        <v>23</v>
      </c>
      <c r="K913" t="s">
        <v>32</v>
      </c>
      <c r="L913">
        <v>64</v>
      </c>
      <c r="M913" t="str">
        <f t="shared" si="14"/>
        <v>Old 55+</v>
      </c>
      <c r="N913" t="s">
        <v>18</v>
      </c>
    </row>
    <row r="914" spans="1:14" x14ac:dyDescent="0.35">
      <c r="A914">
        <v>27190</v>
      </c>
      <c r="B914" t="s">
        <v>36</v>
      </c>
      <c r="C914" t="s">
        <v>38</v>
      </c>
      <c r="D914" s="1">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36</v>
      </c>
      <c r="C917" t="s">
        <v>39</v>
      </c>
      <c r="D917" s="1">
        <v>60000</v>
      </c>
      <c r="E917">
        <v>3</v>
      </c>
      <c r="F917" t="s">
        <v>31</v>
      </c>
      <c r="G917" t="s">
        <v>28</v>
      </c>
      <c r="H917" t="s">
        <v>15</v>
      </c>
      <c r="I917">
        <v>2</v>
      </c>
      <c r="J917" t="s">
        <v>46</v>
      </c>
      <c r="K917" t="s">
        <v>32</v>
      </c>
      <c r="L917">
        <v>64</v>
      </c>
      <c r="M917" t="str">
        <f t="shared" si="14"/>
        <v>Old 55+</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36</v>
      </c>
      <c r="C920" t="s">
        <v>38</v>
      </c>
      <c r="D920" s="1">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36</v>
      </c>
      <c r="C921" t="s">
        <v>38</v>
      </c>
      <c r="D921" s="1">
        <v>40000</v>
      </c>
      <c r="E921">
        <v>4</v>
      </c>
      <c r="F921" t="s">
        <v>27</v>
      </c>
      <c r="G921" t="s">
        <v>21</v>
      </c>
      <c r="H921" t="s">
        <v>15</v>
      </c>
      <c r="I921">
        <v>2</v>
      </c>
      <c r="J921" t="s">
        <v>46</v>
      </c>
      <c r="K921" t="s">
        <v>32</v>
      </c>
      <c r="L921">
        <v>61</v>
      </c>
      <c r="M921" t="str">
        <f t="shared" si="14"/>
        <v>Old 55+</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37</v>
      </c>
      <c r="C923" t="s">
        <v>38</v>
      </c>
      <c r="D923" s="1">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36</v>
      </c>
      <c r="C924" t="s">
        <v>38</v>
      </c>
      <c r="D924" s="1">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37</v>
      </c>
      <c r="C927" t="s">
        <v>38</v>
      </c>
      <c r="D927" s="1">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37</v>
      </c>
      <c r="C928" t="s">
        <v>38</v>
      </c>
      <c r="D928" s="1">
        <v>40000</v>
      </c>
      <c r="E928">
        <v>2</v>
      </c>
      <c r="F928" t="s">
        <v>27</v>
      </c>
      <c r="G928" t="s">
        <v>21</v>
      </c>
      <c r="H928" t="s">
        <v>15</v>
      </c>
      <c r="I928">
        <v>2</v>
      </c>
      <c r="J928" t="s">
        <v>46</v>
      </c>
      <c r="K928" t="s">
        <v>32</v>
      </c>
      <c r="L928">
        <v>57</v>
      </c>
      <c r="M928" t="str">
        <f t="shared" si="14"/>
        <v>Old 55+</v>
      </c>
      <c r="N928" t="s">
        <v>18</v>
      </c>
    </row>
    <row r="929" spans="1:14" x14ac:dyDescent="0.35">
      <c r="A929">
        <v>11823</v>
      </c>
      <c r="B929" t="s">
        <v>36</v>
      </c>
      <c r="C929" t="s">
        <v>38</v>
      </c>
      <c r="D929" s="1">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36</v>
      </c>
      <c r="C932" t="s">
        <v>39</v>
      </c>
      <c r="D932" s="1">
        <v>70000</v>
      </c>
      <c r="E932">
        <v>5</v>
      </c>
      <c r="F932" t="s">
        <v>31</v>
      </c>
      <c r="G932" t="s">
        <v>21</v>
      </c>
      <c r="H932" t="s">
        <v>18</v>
      </c>
      <c r="I932">
        <v>3</v>
      </c>
      <c r="J932" t="s">
        <v>46</v>
      </c>
      <c r="K932" t="s">
        <v>32</v>
      </c>
      <c r="L932">
        <v>47</v>
      </c>
      <c r="M932" t="str">
        <f t="shared" si="14"/>
        <v>Middle age 31-54</v>
      </c>
      <c r="N932" t="s">
        <v>18</v>
      </c>
    </row>
    <row r="933" spans="1:14" x14ac:dyDescent="0.35">
      <c r="A933">
        <v>14914</v>
      </c>
      <c r="B933" t="s">
        <v>36</v>
      </c>
      <c r="C933" t="s">
        <v>38</v>
      </c>
      <c r="D933" s="1">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37</v>
      </c>
      <c r="C934" t="s">
        <v>38</v>
      </c>
      <c r="D934" s="1">
        <v>40000</v>
      </c>
      <c r="E934">
        <v>0</v>
      </c>
      <c r="F934" t="s">
        <v>27</v>
      </c>
      <c r="G934" t="s">
        <v>14</v>
      </c>
      <c r="H934" t="s">
        <v>18</v>
      </c>
      <c r="I934">
        <v>2</v>
      </c>
      <c r="J934" t="s">
        <v>16</v>
      </c>
      <c r="K934" t="s">
        <v>32</v>
      </c>
      <c r="L934">
        <v>27</v>
      </c>
      <c r="M934" t="str">
        <f t="shared" si="14"/>
        <v>Adolescent 0-30</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Adolescent 0-30</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 55+</v>
      </c>
      <c r="N936" t="s">
        <v>18</v>
      </c>
    </row>
    <row r="937" spans="1:14" x14ac:dyDescent="0.35">
      <c r="A937">
        <v>18050</v>
      </c>
      <c r="B937" t="s">
        <v>36</v>
      </c>
      <c r="C937" t="s">
        <v>38</v>
      </c>
      <c r="D937" s="1">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36</v>
      </c>
      <c r="C938" t="s">
        <v>38</v>
      </c>
      <c r="D938" s="1">
        <v>60000</v>
      </c>
      <c r="E938">
        <v>4</v>
      </c>
      <c r="F938" t="s">
        <v>13</v>
      </c>
      <c r="G938" t="s">
        <v>28</v>
      </c>
      <c r="H938" t="s">
        <v>15</v>
      </c>
      <c r="I938">
        <v>2</v>
      </c>
      <c r="J938" t="s">
        <v>22</v>
      </c>
      <c r="K938" t="s">
        <v>32</v>
      </c>
      <c r="L938">
        <v>60</v>
      </c>
      <c r="M938" t="str">
        <f t="shared" si="14"/>
        <v>Old 55+</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36</v>
      </c>
      <c r="C940" t="s">
        <v>38</v>
      </c>
      <c r="D940" s="1">
        <v>40000</v>
      </c>
      <c r="E940">
        <v>0</v>
      </c>
      <c r="F940" t="s">
        <v>27</v>
      </c>
      <c r="G940" t="s">
        <v>14</v>
      </c>
      <c r="H940" t="s">
        <v>15</v>
      </c>
      <c r="I940">
        <v>2</v>
      </c>
      <c r="J940" t="s">
        <v>23</v>
      </c>
      <c r="K940" t="s">
        <v>32</v>
      </c>
      <c r="L940">
        <v>27</v>
      </c>
      <c r="M940" t="str">
        <f t="shared" si="14"/>
        <v>Adolescent 0-30</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 31-54</v>
      </c>
      <c r="N941" t="s">
        <v>18</v>
      </c>
    </row>
    <row r="942" spans="1:14" x14ac:dyDescent="0.35">
      <c r="A942">
        <v>15292</v>
      </c>
      <c r="B942" t="s">
        <v>37</v>
      </c>
      <c r="C942" t="s">
        <v>38</v>
      </c>
      <c r="D942" s="1">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36</v>
      </c>
      <c r="C943" t="s">
        <v>38</v>
      </c>
      <c r="D943" s="1">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36</v>
      </c>
      <c r="C944" t="s">
        <v>38</v>
      </c>
      <c r="D944" s="1">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36</v>
      </c>
      <c r="C945" t="s">
        <v>38</v>
      </c>
      <c r="D945" s="1">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36</v>
      </c>
      <c r="C946" t="s">
        <v>38</v>
      </c>
      <c r="D946" s="1">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36</v>
      </c>
      <c r="C948" t="s">
        <v>38</v>
      </c>
      <c r="D948" s="1">
        <v>90000</v>
      </c>
      <c r="E948">
        <v>5</v>
      </c>
      <c r="F948" t="s">
        <v>13</v>
      </c>
      <c r="G948" t="s">
        <v>28</v>
      </c>
      <c r="H948" t="s">
        <v>15</v>
      </c>
      <c r="I948">
        <v>2</v>
      </c>
      <c r="J948" t="s">
        <v>26</v>
      </c>
      <c r="K948" t="s">
        <v>32</v>
      </c>
      <c r="L948">
        <v>63</v>
      </c>
      <c r="M948" t="str">
        <f t="shared" si="14"/>
        <v>Old 55+</v>
      </c>
      <c r="N948" t="s">
        <v>15</v>
      </c>
    </row>
    <row r="949" spans="1:14" x14ac:dyDescent="0.35">
      <c r="A949">
        <v>11303</v>
      </c>
      <c r="B949" t="s">
        <v>37</v>
      </c>
      <c r="C949" t="s">
        <v>38</v>
      </c>
      <c r="D949" s="1">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37</v>
      </c>
      <c r="C950" t="s">
        <v>38</v>
      </c>
      <c r="D950" s="1">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36</v>
      </c>
      <c r="C951" t="s">
        <v>39</v>
      </c>
      <c r="D951" s="1">
        <v>70000</v>
      </c>
      <c r="E951">
        <v>2</v>
      </c>
      <c r="F951" t="s">
        <v>29</v>
      </c>
      <c r="G951" t="s">
        <v>14</v>
      </c>
      <c r="H951" t="s">
        <v>15</v>
      </c>
      <c r="I951">
        <v>2</v>
      </c>
      <c r="J951" t="s">
        <v>46</v>
      </c>
      <c r="K951" t="s">
        <v>32</v>
      </c>
      <c r="L951">
        <v>53</v>
      </c>
      <c r="M951" t="str">
        <f t="shared" si="14"/>
        <v>Middle age 31-54</v>
      </c>
      <c r="N951" t="s">
        <v>18</v>
      </c>
    </row>
    <row r="952" spans="1:14" x14ac:dyDescent="0.35">
      <c r="A952">
        <v>11788</v>
      </c>
      <c r="B952" t="s">
        <v>37</v>
      </c>
      <c r="C952" t="s">
        <v>38</v>
      </c>
      <c r="D952" s="1">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36</v>
      </c>
      <c r="C954" t="s">
        <v>38</v>
      </c>
      <c r="D954" s="1">
        <v>70000</v>
      </c>
      <c r="E954">
        <v>4</v>
      </c>
      <c r="F954" t="s">
        <v>13</v>
      </c>
      <c r="G954" t="s">
        <v>28</v>
      </c>
      <c r="H954" t="s">
        <v>18</v>
      </c>
      <c r="I954">
        <v>1</v>
      </c>
      <c r="J954" t="s">
        <v>26</v>
      </c>
      <c r="K954" t="s">
        <v>32</v>
      </c>
      <c r="L954">
        <v>59</v>
      </c>
      <c r="M954" t="str">
        <f t="shared" si="14"/>
        <v>Old 55+</v>
      </c>
      <c r="N954" t="s">
        <v>18</v>
      </c>
    </row>
    <row r="955" spans="1:14" x14ac:dyDescent="0.35">
      <c r="A955">
        <v>17654</v>
      </c>
      <c r="B955" t="s">
        <v>37</v>
      </c>
      <c r="C955" t="s">
        <v>38</v>
      </c>
      <c r="D955" s="1">
        <v>40000</v>
      </c>
      <c r="E955">
        <v>3</v>
      </c>
      <c r="F955" t="s">
        <v>19</v>
      </c>
      <c r="G955" t="s">
        <v>20</v>
      </c>
      <c r="H955" t="s">
        <v>15</v>
      </c>
      <c r="I955">
        <v>1</v>
      </c>
      <c r="J955" t="s">
        <v>26</v>
      </c>
      <c r="K955" t="s">
        <v>32</v>
      </c>
      <c r="L955">
        <v>30</v>
      </c>
      <c r="M955" t="str">
        <f t="shared" si="14"/>
        <v>Adolescent 0-30</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 31-54</v>
      </c>
      <c r="N956" t="s">
        <v>15</v>
      </c>
    </row>
    <row r="957" spans="1:14" x14ac:dyDescent="0.35">
      <c r="A957">
        <v>17541</v>
      </c>
      <c r="B957" t="s">
        <v>36</v>
      </c>
      <c r="C957" t="s">
        <v>38</v>
      </c>
      <c r="D957" s="1">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36</v>
      </c>
      <c r="C958" t="s">
        <v>38</v>
      </c>
      <c r="D958" s="1">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36</v>
      </c>
      <c r="C959" t="s">
        <v>38</v>
      </c>
      <c r="D959" s="1">
        <v>60000</v>
      </c>
      <c r="E959">
        <v>0</v>
      </c>
      <c r="F959" t="s">
        <v>19</v>
      </c>
      <c r="G959" t="s">
        <v>21</v>
      </c>
      <c r="H959" t="s">
        <v>15</v>
      </c>
      <c r="I959">
        <v>2</v>
      </c>
      <c r="J959" t="s">
        <v>23</v>
      </c>
      <c r="K959" t="s">
        <v>32</v>
      </c>
      <c r="L959">
        <v>30</v>
      </c>
      <c r="M959" t="str">
        <f t="shared" si="14"/>
        <v>Adolescent 0-30</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 31-54</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 31-54</v>
      </c>
      <c r="N962" t="s">
        <v>18</v>
      </c>
    </row>
    <row r="963" spans="1:14" x14ac:dyDescent="0.35">
      <c r="A963">
        <v>16651</v>
      </c>
      <c r="B963" t="s">
        <v>36</v>
      </c>
      <c r="C963" t="s">
        <v>38</v>
      </c>
      <c r="D963" s="1">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35">
      <c r="A964">
        <v>16813</v>
      </c>
      <c r="B964" t="s">
        <v>36</v>
      </c>
      <c r="C964" t="s">
        <v>39</v>
      </c>
      <c r="D964" s="1">
        <v>60000</v>
      </c>
      <c r="E964">
        <v>2</v>
      </c>
      <c r="F964" t="s">
        <v>19</v>
      </c>
      <c r="G964" t="s">
        <v>21</v>
      </c>
      <c r="H964" t="s">
        <v>15</v>
      </c>
      <c r="I964">
        <v>2</v>
      </c>
      <c r="J964" t="s">
        <v>46</v>
      </c>
      <c r="K964" t="s">
        <v>32</v>
      </c>
      <c r="L964">
        <v>55</v>
      </c>
      <c r="M964" t="str">
        <f t="shared" si="15"/>
        <v>Old 55+</v>
      </c>
      <c r="N964" t="s">
        <v>18</v>
      </c>
    </row>
    <row r="965" spans="1:14" x14ac:dyDescent="0.35">
      <c r="A965">
        <v>16007</v>
      </c>
      <c r="B965" t="s">
        <v>36</v>
      </c>
      <c r="C965" t="s">
        <v>38</v>
      </c>
      <c r="D965" s="1">
        <v>90000</v>
      </c>
      <c r="E965">
        <v>5</v>
      </c>
      <c r="F965" t="s">
        <v>13</v>
      </c>
      <c r="G965" t="s">
        <v>28</v>
      </c>
      <c r="H965" t="s">
        <v>15</v>
      </c>
      <c r="I965">
        <v>2</v>
      </c>
      <c r="J965" t="s">
        <v>26</v>
      </c>
      <c r="K965" t="s">
        <v>32</v>
      </c>
      <c r="L965">
        <v>66</v>
      </c>
      <c r="M965" t="str">
        <f t="shared" si="15"/>
        <v>Old 55+</v>
      </c>
      <c r="N965" t="s">
        <v>15</v>
      </c>
    </row>
    <row r="966" spans="1:14" x14ac:dyDescent="0.35">
      <c r="A966">
        <v>27434</v>
      </c>
      <c r="B966" t="s">
        <v>37</v>
      </c>
      <c r="C966" t="s">
        <v>39</v>
      </c>
      <c r="D966" s="1">
        <v>70000</v>
      </c>
      <c r="E966">
        <v>4</v>
      </c>
      <c r="F966" t="s">
        <v>19</v>
      </c>
      <c r="G966" t="s">
        <v>21</v>
      </c>
      <c r="H966" t="s">
        <v>15</v>
      </c>
      <c r="I966">
        <v>1</v>
      </c>
      <c r="J966" t="s">
        <v>46</v>
      </c>
      <c r="K966" t="s">
        <v>32</v>
      </c>
      <c r="L966">
        <v>56</v>
      </c>
      <c r="M966" t="str">
        <f t="shared" si="15"/>
        <v>Old 55+</v>
      </c>
      <c r="N966" t="s">
        <v>18</v>
      </c>
    </row>
    <row r="967" spans="1:14" x14ac:dyDescent="0.35">
      <c r="A967">
        <v>27756</v>
      </c>
      <c r="B967" t="s">
        <v>37</v>
      </c>
      <c r="C967" t="s">
        <v>38</v>
      </c>
      <c r="D967" s="1">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36</v>
      </c>
      <c r="C968" t="s">
        <v>38</v>
      </c>
      <c r="D968" s="1">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 55+</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Adolescent 0-30</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 31-54</v>
      </c>
      <c r="N971" t="s">
        <v>18</v>
      </c>
    </row>
    <row r="972" spans="1:14" x14ac:dyDescent="0.35">
      <c r="A972">
        <v>26576</v>
      </c>
      <c r="B972" t="s">
        <v>36</v>
      </c>
      <c r="C972" t="s">
        <v>38</v>
      </c>
      <c r="D972" s="1">
        <v>60000</v>
      </c>
      <c r="E972">
        <v>0</v>
      </c>
      <c r="F972" t="s">
        <v>19</v>
      </c>
      <c r="G972" t="s">
        <v>14</v>
      </c>
      <c r="H972" t="s">
        <v>15</v>
      </c>
      <c r="I972">
        <v>2</v>
      </c>
      <c r="J972" t="s">
        <v>23</v>
      </c>
      <c r="K972" t="s">
        <v>32</v>
      </c>
      <c r="L972">
        <v>31</v>
      </c>
      <c r="M972" t="str">
        <f t="shared" si="15"/>
        <v>Middle age 31-54</v>
      </c>
      <c r="N972" t="s">
        <v>18</v>
      </c>
    </row>
    <row r="973" spans="1:14" x14ac:dyDescent="0.35">
      <c r="A973">
        <v>12192</v>
      </c>
      <c r="B973" t="s">
        <v>37</v>
      </c>
      <c r="C973" t="s">
        <v>38</v>
      </c>
      <c r="D973" s="1">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36</v>
      </c>
      <c r="C974" t="s">
        <v>38</v>
      </c>
      <c r="D974" s="1">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36</v>
      </c>
      <c r="C978" t="s">
        <v>38</v>
      </c>
      <c r="D978" s="1">
        <v>60000</v>
      </c>
      <c r="E978">
        <v>3</v>
      </c>
      <c r="F978" t="s">
        <v>13</v>
      </c>
      <c r="G978" t="s">
        <v>28</v>
      </c>
      <c r="H978" t="s">
        <v>15</v>
      </c>
      <c r="I978">
        <v>2</v>
      </c>
      <c r="J978" t="s">
        <v>46</v>
      </c>
      <c r="K978" t="s">
        <v>32</v>
      </c>
      <c r="L978">
        <v>66</v>
      </c>
      <c r="M978" t="str">
        <f t="shared" si="15"/>
        <v>Old 55+</v>
      </c>
      <c r="N978" t="s">
        <v>18</v>
      </c>
    </row>
    <row r="979" spans="1:14" x14ac:dyDescent="0.35">
      <c r="A979">
        <v>19741</v>
      </c>
      <c r="B979" t="s">
        <v>37</v>
      </c>
      <c r="C979" t="s">
        <v>38</v>
      </c>
      <c r="D979" s="1">
        <v>80000</v>
      </c>
      <c r="E979">
        <v>4</v>
      </c>
      <c r="F979" t="s">
        <v>31</v>
      </c>
      <c r="G979" t="s">
        <v>28</v>
      </c>
      <c r="H979" t="s">
        <v>15</v>
      </c>
      <c r="I979">
        <v>2</v>
      </c>
      <c r="J979" t="s">
        <v>23</v>
      </c>
      <c r="K979" t="s">
        <v>32</v>
      </c>
      <c r="L979">
        <v>65</v>
      </c>
      <c r="M979" t="str">
        <f t="shared" si="15"/>
        <v>Old 55+</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 31-54</v>
      </c>
      <c r="N981" t="s">
        <v>18</v>
      </c>
    </row>
    <row r="982" spans="1:14" x14ac:dyDescent="0.35">
      <c r="A982">
        <v>18594</v>
      </c>
      <c r="B982" t="s">
        <v>37</v>
      </c>
      <c r="C982" t="s">
        <v>38</v>
      </c>
      <c r="D982" s="1">
        <v>80000</v>
      </c>
      <c r="E982">
        <v>3</v>
      </c>
      <c r="F982" t="s">
        <v>13</v>
      </c>
      <c r="G982" t="s">
        <v>14</v>
      </c>
      <c r="H982" t="s">
        <v>15</v>
      </c>
      <c r="I982">
        <v>3</v>
      </c>
      <c r="J982" t="s">
        <v>46</v>
      </c>
      <c r="K982" t="s">
        <v>32</v>
      </c>
      <c r="L982">
        <v>40</v>
      </c>
      <c r="M982" t="str">
        <f t="shared" si="15"/>
        <v>Middle age 31-54</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37</v>
      </c>
      <c r="C987" t="s">
        <v>38</v>
      </c>
      <c r="D987" s="1">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37</v>
      </c>
      <c r="C988" t="s">
        <v>39</v>
      </c>
      <c r="D988" s="1">
        <v>40000</v>
      </c>
      <c r="E988">
        <v>5</v>
      </c>
      <c r="F988" t="s">
        <v>27</v>
      </c>
      <c r="G988" t="s">
        <v>21</v>
      </c>
      <c r="H988" t="s">
        <v>15</v>
      </c>
      <c r="I988">
        <v>4</v>
      </c>
      <c r="J988" t="s">
        <v>46</v>
      </c>
      <c r="K988" t="s">
        <v>32</v>
      </c>
      <c r="L988">
        <v>60</v>
      </c>
      <c r="M988" t="str">
        <f t="shared" si="15"/>
        <v>Old 55+</v>
      </c>
      <c r="N988" t="s">
        <v>15</v>
      </c>
    </row>
    <row r="989" spans="1:14" x14ac:dyDescent="0.35">
      <c r="A989">
        <v>28972</v>
      </c>
      <c r="B989" t="s">
        <v>37</v>
      </c>
      <c r="C989" t="s">
        <v>38</v>
      </c>
      <c r="D989" s="1">
        <v>60000</v>
      </c>
      <c r="E989">
        <v>3</v>
      </c>
      <c r="F989" t="s">
        <v>31</v>
      </c>
      <c r="G989" t="s">
        <v>28</v>
      </c>
      <c r="H989" t="s">
        <v>15</v>
      </c>
      <c r="I989">
        <v>2</v>
      </c>
      <c r="J989" t="s">
        <v>46</v>
      </c>
      <c r="K989" t="s">
        <v>32</v>
      </c>
      <c r="L989">
        <v>66</v>
      </c>
      <c r="M989" t="str">
        <f t="shared" si="15"/>
        <v>Old 55+</v>
      </c>
      <c r="N989" t="s">
        <v>18</v>
      </c>
    </row>
    <row r="990" spans="1:14" x14ac:dyDescent="0.35">
      <c r="A990">
        <v>22730</v>
      </c>
      <c r="B990" t="s">
        <v>36</v>
      </c>
      <c r="C990" t="s">
        <v>39</v>
      </c>
      <c r="D990" s="1">
        <v>70000</v>
      </c>
      <c r="E990">
        <v>5</v>
      </c>
      <c r="F990" t="s">
        <v>13</v>
      </c>
      <c r="G990" t="s">
        <v>28</v>
      </c>
      <c r="H990" t="s">
        <v>15</v>
      </c>
      <c r="I990">
        <v>2</v>
      </c>
      <c r="J990" t="s">
        <v>46</v>
      </c>
      <c r="K990" t="s">
        <v>32</v>
      </c>
      <c r="L990">
        <v>63</v>
      </c>
      <c r="M990" t="str">
        <f t="shared" si="15"/>
        <v>Old 55+</v>
      </c>
      <c r="N990" t="s">
        <v>18</v>
      </c>
    </row>
    <row r="991" spans="1:14" x14ac:dyDescent="0.35">
      <c r="A991">
        <v>29134</v>
      </c>
      <c r="B991" t="s">
        <v>36</v>
      </c>
      <c r="C991" t="s">
        <v>39</v>
      </c>
      <c r="D991" s="1">
        <v>60000</v>
      </c>
      <c r="E991">
        <v>4</v>
      </c>
      <c r="F991" t="s">
        <v>13</v>
      </c>
      <c r="G991" t="s">
        <v>14</v>
      </c>
      <c r="H991" t="s">
        <v>18</v>
      </c>
      <c r="I991">
        <v>3</v>
      </c>
      <c r="J991" t="s">
        <v>46</v>
      </c>
      <c r="K991" t="s">
        <v>32</v>
      </c>
      <c r="L991">
        <v>42</v>
      </c>
      <c r="M991" t="str">
        <f t="shared" si="15"/>
        <v>Middle age 31-54</v>
      </c>
      <c r="N991" t="s">
        <v>18</v>
      </c>
    </row>
    <row r="992" spans="1:14" x14ac:dyDescent="0.35">
      <c r="A992">
        <v>14332</v>
      </c>
      <c r="B992" t="s">
        <v>37</v>
      </c>
      <c r="C992" t="s">
        <v>38</v>
      </c>
      <c r="D992" s="1">
        <v>30000</v>
      </c>
      <c r="E992">
        <v>0</v>
      </c>
      <c r="F992" t="s">
        <v>27</v>
      </c>
      <c r="G992" t="s">
        <v>14</v>
      </c>
      <c r="H992" t="s">
        <v>18</v>
      </c>
      <c r="I992">
        <v>2</v>
      </c>
      <c r="J992" t="s">
        <v>23</v>
      </c>
      <c r="K992" t="s">
        <v>32</v>
      </c>
      <c r="L992">
        <v>26</v>
      </c>
      <c r="M992" t="str">
        <f t="shared" si="15"/>
        <v>Adolescent 0-30</v>
      </c>
      <c r="N992" t="s">
        <v>18</v>
      </c>
    </row>
    <row r="993" spans="1:14" x14ac:dyDescent="0.35">
      <c r="A993">
        <v>19117</v>
      </c>
      <c r="B993" t="s">
        <v>37</v>
      </c>
      <c r="C993" t="s">
        <v>38</v>
      </c>
      <c r="D993" s="1">
        <v>60000</v>
      </c>
      <c r="E993">
        <v>1</v>
      </c>
      <c r="F993" t="s">
        <v>31</v>
      </c>
      <c r="G993" t="s">
        <v>21</v>
      </c>
      <c r="H993" t="s">
        <v>15</v>
      </c>
      <c r="I993">
        <v>0</v>
      </c>
      <c r="J993" t="s">
        <v>22</v>
      </c>
      <c r="K993" t="s">
        <v>32</v>
      </c>
      <c r="L993">
        <v>36</v>
      </c>
      <c r="M993" t="str">
        <f t="shared" si="15"/>
        <v>Middle age 31-54</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 31-54</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37</v>
      </c>
      <c r="C1001" t="s">
        <v>39</v>
      </c>
      <c r="D1001" s="1">
        <v>60000</v>
      </c>
      <c r="E1001">
        <v>3</v>
      </c>
      <c r="F1001" t="s">
        <v>27</v>
      </c>
      <c r="G1001" t="s">
        <v>21</v>
      </c>
      <c r="H1001" t="s">
        <v>15</v>
      </c>
      <c r="I1001">
        <v>2</v>
      </c>
      <c r="J1001" t="s">
        <v>46</v>
      </c>
      <c r="K1001" t="s">
        <v>32</v>
      </c>
      <c r="L1001">
        <v>53</v>
      </c>
      <c r="M1001" t="str">
        <f t="shared" si="15"/>
        <v>Middle age 31-54</v>
      </c>
      <c r="N1001" t="s">
        <v>15</v>
      </c>
    </row>
  </sheetData>
  <autoFilter ref="A1:N1001" xr:uid="{C47D5787-261A-427F-A1EC-65BA93FD575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E415-B27C-4845-8712-05B923069298}">
  <dimension ref="A3:D82"/>
  <sheetViews>
    <sheetView topLeftCell="A39" zoomScale="88" workbookViewId="0">
      <selection activeCell="P55" sqref="P55"/>
    </sheetView>
  </sheetViews>
  <sheetFormatPr defaultRowHeight="14.5" x14ac:dyDescent="0.35"/>
  <cols>
    <col min="1" max="1" width="21.54296875" bestFit="1" customWidth="1"/>
    <col min="2" max="2" width="15.26953125" bestFit="1" customWidth="1"/>
    <col min="3" max="3" width="12.1796875" customWidth="1"/>
    <col min="4" max="5" width="10.7265625" bestFit="1" customWidth="1"/>
  </cols>
  <sheetData>
    <row r="3" spans="1:4" x14ac:dyDescent="0.35">
      <c r="A3" s="26" t="s">
        <v>43</v>
      </c>
      <c r="B3" s="26" t="s">
        <v>44</v>
      </c>
      <c r="C3" s="22"/>
      <c r="D3" s="22"/>
    </row>
    <row r="4" spans="1:4" x14ac:dyDescent="0.35">
      <c r="A4" s="26" t="s">
        <v>41</v>
      </c>
      <c r="B4" s="22" t="s">
        <v>18</v>
      </c>
      <c r="C4" s="22" t="s">
        <v>15</v>
      </c>
      <c r="D4" s="22" t="s">
        <v>42</v>
      </c>
    </row>
    <row r="5" spans="1:4" x14ac:dyDescent="0.35">
      <c r="A5" s="27" t="s">
        <v>38</v>
      </c>
      <c r="B5" s="28">
        <v>40000</v>
      </c>
      <c r="C5" s="28">
        <v>66666.666666666672</v>
      </c>
      <c r="D5" s="28">
        <v>60000</v>
      </c>
    </row>
    <row r="6" spans="1:4" x14ac:dyDescent="0.35">
      <c r="A6" s="27" t="s">
        <v>39</v>
      </c>
      <c r="B6" s="28">
        <v>60000</v>
      </c>
      <c r="C6" s="28">
        <v>51666.666666666664</v>
      </c>
      <c r="D6" s="28">
        <v>52857.142857142855</v>
      </c>
    </row>
    <row r="7" spans="1:4" x14ac:dyDescent="0.35">
      <c r="A7" s="27" t="s">
        <v>42</v>
      </c>
      <c r="B7" s="28">
        <v>50000</v>
      </c>
      <c r="C7" s="28">
        <v>56666.666666666664</v>
      </c>
      <c r="D7" s="28">
        <v>55454.545454545456</v>
      </c>
    </row>
    <row r="22" spans="1:4" x14ac:dyDescent="0.35">
      <c r="A22" s="26" t="s">
        <v>45</v>
      </c>
      <c r="B22" s="26" t="s">
        <v>44</v>
      </c>
      <c r="C22" s="22"/>
      <c r="D22" s="22"/>
    </row>
    <row r="23" spans="1:4" x14ac:dyDescent="0.35">
      <c r="A23" s="26" t="s">
        <v>41</v>
      </c>
      <c r="B23" s="22" t="s">
        <v>18</v>
      </c>
      <c r="C23" s="22" t="s">
        <v>15</v>
      </c>
      <c r="D23" s="22" t="s">
        <v>42</v>
      </c>
    </row>
    <row r="24" spans="1:4" x14ac:dyDescent="0.35">
      <c r="A24" s="27" t="s">
        <v>16</v>
      </c>
      <c r="B24" s="22">
        <v>1</v>
      </c>
      <c r="C24" s="22">
        <v>4</v>
      </c>
      <c r="D24" s="22">
        <v>5</v>
      </c>
    </row>
    <row r="25" spans="1:4" x14ac:dyDescent="0.35">
      <c r="A25" s="27" t="s">
        <v>26</v>
      </c>
      <c r="B25" s="22">
        <v>1</v>
      </c>
      <c r="C25" s="22">
        <v>7</v>
      </c>
      <c r="D25" s="22">
        <v>8</v>
      </c>
    </row>
    <row r="26" spans="1:4" x14ac:dyDescent="0.35">
      <c r="A26" s="27" t="s">
        <v>22</v>
      </c>
      <c r="B26" s="22">
        <v>1</v>
      </c>
      <c r="C26" s="22">
        <v>2</v>
      </c>
      <c r="D26" s="22">
        <v>3</v>
      </c>
    </row>
    <row r="27" spans="1:4" x14ac:dyDescent="0.35">
      <c r="A27" s="27" t="s">
        <v>23</v>
      </c>
      <c r="B27" s="22">
        <v>15</v>
      </c>
      <c r="C27" s="22">
        <v>2</v>
      </c>
      <c r="D27" s="22">
        <v>17</v>
      </c>
    </row>
    <row r="28" spans="1:4" x14ac:dyDescent="0.35">
      <c r="A28" s="27" t="s">
        <v>46</v>
      </c>
      <c r="B28" s="22">
        <v>1</v>
      </c>
      <c r="C28" s="22">
        <v>4</v>
      </c>
      <c r="D28" s="22">
        <v>5</v>
      </c>
    </row>
    <row r="29" spans="1:4" x14ac:dyDescent="0.35">
      <c r="A29" s="27" t="s">
        <v>42</v>
      </c>
      <c r="B29" s="22">
        <v>19</v>
      </c>
      <c r="C29" s="22">
        <v>19</v>
      </c>
      <c r="D29" s="22">
        <v>38</v>
      </c>
    </row>
    <row r="42" spans="1:4" x14ac:dyDescent="0.35">
      <c r="A42" s="17" t="s">
        <v>45</v>
      </c>
      <c r="B42" s="18" t="s">
        <v>44</v>
      </c>
      <c r="C42" s="19"/>
      <c r="D42" s="20"/>
    </row>
    <row r="43" spans="1:4" x14ac:dyDescent="0.35">
      <c r="A43" s="21" t="s">
        <v>41</v>
      </c>
      <c r="B43" s="22" t="s">
        <v>18</v>
      </c>
      <c r="C43" s="22" t="s">
        <v>15</v>
      </c>
      <c r="D43" s="23" t="s">
        <v>42</v>
      </c>
    </row>
    <row r="44" spans="1:4" x14ac:dyDescent="0.35">
      <c r="A44" s="13" t="s">
        <v>47</v>
      </c>
      <c r="B44" s="22">
        <v>8</v>
      </c>
      <c r="C44" s="22">
        <v>11</v>
      </c>
      <c r="D44" s="23">
        <v>19</v>
      </c>
    </row>
    <row r="45" spans="1:4" x14ac:dyDescent="0.35">
      <c r="A45" s="13" t="s">
        <v>48</v>
      </c>
      <c r="B45" s="22">
        <v>2</v>
      </c>
      <c r="C45" s="22">
        <v>4</v>
      </c>
      <c r="D45" s="23">
        <v>6</v>
      </c>
    </row>
    <row r="46" spans="1:4" x14ac:dyDescent="0.35">
      <c r="A46" s="13" t="s">
        <v>49</v>
      </c>
      <c r="B46" s="22">
        <v>9</v>
      </c>
      <c r="C46" s="22">
        <v>4</v>
      </c>
      <c r="D46" s="23">
        <v>13</v>
      </c>
    </row>
    <row r="47" spans="1:4" x14ac:dyDescent="0.35">
      <c r="A47" s="14" t="s">
        <v>42</v>
      </c>
      <c r="B47" s="24">
        <v>19</v>
      </c>
      <c r="C47" s="24">
        <v>19</v>
      </c>
      <c r="D47" s="25">
        <v>38</v>
      </c>
    </row>
    <row r="62" spans="1:4" x14ac:dyDescent="0.35">
      <c r="A62" s="6" t="s">
        <v>45</v>
      </c>
      <c r="B62" s="7" t="s">
        <v>44</v>
      </c>
      <c r="C62" s="8"/>
      <c r="D62" s="9"/>
    </row>
    <row r="63" spans="1:4" x14ac:dyDescent="0.35">
      <c r="A63" s="10" t="s">
        <v>41</v>
      </c>
      <c r="B63" s="11" t="s">
        <v>18</v>
      </c>
      <c r="C63" s="11" t="s">
        <v>15</v>
      </c>
      <c r="D63" s="12" t="s">
        <v>42</v>
      </c>
    </row>
    <row r="64" spans="1:4" x14ac:dyDescent="0.35">
      <c r="A64" s="13">
        <v>25</v>
      </c>
      <c r="B64" s="11"/>
      <c r="C64" s="11">
        <v>1</v>
      </c>
      <c r="D64" s="12">
        <v>1</v>
      </c>
    </row>
    <row r="65" spans="1:4" x14ac:dyDescent="0.35">
      <c r="A65" s="13">
        <v>26</v>
      </c>
      <c r="B65" s="11">
        <v>2</v>
      </c>
      <c r="C65" s="11"/>
      <c r="D65" s="12">
        <v>2</v>
      </c>
    </row>
    <row r="66" spans="1:4" x14ac:dyDescent="0.35">
      <c r="A66" s="13">
        <v>27</v>
      </c>
      <c r="B66" s="11">
        <v>1</v>
      </c>
      <c r="C66" s="11">
        <v>1</v>
      </c>
      <c r="D66" s="12">
        <v>2</v>
      </c>
    </row>
    <row r="67" spans="1:4" x14ac:dyDescent="0.35">
      <c r="A67" s="13">
        <v>28</v>
      </c>
      <c r="B67" s="11"/>
      <c r="C67" s="11">
        <v>2</v>
      </c>
      <c r="D67" s="12">
        <v>2</v>
      </c>
    </row>
    <row r="68" spans="1:4" x14ac:dyDescent="0.35">
      <c r="A68" s="13">
        <v>30</v>
      </c>
      <c r="B68" s="11">
        <v>6</v>
      </c>
      <c r="C68" s="11"/>
      <c r="D68" s="12">
        <v>6</v>
      </c>
    </row>
    <row r="69" spans="1:4" x14ac:dyDescent="0.35">
      <c r="A69" s="13">
        <v>31</v>
      </c>
      <c r="B69" s="11">
        <v>5</v>
      </c>
      <c r="C69" s="11">
        <v>3</v>
      </c>
      <c r="D69" s="12">
        <v>8</v>
      </c>
    </row>
    <row r="70" spans="1:4" x14ac:dyDescent="0.35">
      <c r="A70" s="13">
        <v>45</v>
      </c>
      <c r="B70" s="11"/>
      <c r="C70" s="11">
        <v>1</v>
      </c>
      <c r="D70" s="12">
        <v>1</v>
      </c>
    </row>
    <row r="71" spans="1:4" x14ac:dyDescent="0.35">
      <c r="A71" s="13">
        <v>49</v>
      </c>
      <c r="B71" s="11">
        <v>1</v>
      </c>
      <c r="C71" s="11"/>
      <c r="D71" s="12">
        <v>1</v>
      </c>
    </row>
    <row r="72" spans="1:4" x14ac:dyDescent="0.35">
      <c r="A72" s="13">
        <v>50</v>
      </c>
      <c r="B72" s="11"/>
      <c r="C72" s="11">
        <v>2</v>
      </c>
      <c r="D72" s="12">
        <v>2</v>
      </c>
    </row>
    <row r="73" spans="1:4" x14ac:dyDescent="0.35">
      <c r="A73" s="13">
        <v>51</v>
      </c>
      <c r="B73" s="11">
        <v>1</v>
      </c>
      <c r="C73" s="11">
        <v>1</v>
      </c>
      <c r="D73" s="12">
        <v>2</v>
      </c>
    </row>
    <row r="74" spans="1:4" x14ac:dyDescent="0.35">
      <c r="A74" s="13">
        <v>52</v>
      </c>
      <c r="B74" s="11">
        <v>1</v>
      </c>
      <c r="C74" s="11">
        <v>1</v>
      </c>
      <c r="D74" s="12">
        <v>2</v>
      </c>
    </row>
    <row r="75" spans="1:4" x14ac:dyDescent="0.35">
      <c r="A75" s="13">
        <v>53</v>
      </c>
      <c r="B75" s="11"/>
      <c r="C75" s="11">
        <v>2</v>
      </c>
      <c r="D75" s="12">
        <v>2</v>
      </c>
    </row>
    <row r="76" spans="1:4" x14ac:dyDescent="0.35">
      <c r="A76" s="13">
        <v>54</v>
      </c>
      <c r="B76" s="11"/>
      <c r="C76" s="11">
        <v>1</v>
      </c>
      <c r="D76" s="12">
        <v>1</v>
      </c>
    </row>
    <row r="77" spans="1:4" x14ac:dyDescent="0.35">
      <c r="A77" s="13">
        <v>57</v>
      </c>
      <c r="B77" s="11">
        <v>1</v>
      </c>
      <c r="C77" s="11"/>
      <c r="D77" s="12">
        <v>1</v>
      </c>
    </row>
    <row r="78" spans="1:4" x14ac:dyDescent="0.35">
      <c r="A78" s="13">
        <v>58</v>
      </c>
      <c r="B78" s="11"/>
      <c r="C78" s="11">
        <v>1</v>
      </c>
      <c r="D78" s="12">
        <v>1</v>
      </c>
    </row>
    <row r="79" spans="1:4" x14ac:dyDescent="0.35">
      <c r="A79" s="13">
        <v>60</v>
      </c>
      <c r="B79" s="11"/>
      <c r="C79" s="11">
        <v>2</v>
      </c>
      <c r="D79" s="12">
        <v>2</v>
      </c>
    </row>
    <row r="80" spans="1:4" x14ac:dyDescent="0.35">
      <c r="A80" s="13">
        <v>62</v>
      </c>
      <c r="B80" s="11"/>
      <c r="C80" s="11">
        <v>1</v>
      </c>
      <c r="D80" s="12">
        <v>1</v>
      </c>
    </row>
    <row r="81" spans="1:4" x14ac:dyDescent="0.35">
      <c r="A81" s="13">
        <v>78</v>
      </c>
      <c r="B81" s="11">
        <v>1</v>
      </c>
      <c r="C81" s="11"/>
      <c r="D81" s="12">
        <v>1</v>
      </c>
    </row>
    <row r="82" spans="1:4" x14ac:dyDescent="0.35">
      <c r="A82" s="14" t="s">
        <v>42</v>
      </c>
      <c r="B82" s="15">
        <v>19</v>
      </c>
      <c r="C82" s="15">
        <v>19</v>
      </c>
      <c r="D82" s="16">
        <v>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BF3FA-4BD2-4F62-89C5-448546A40BDF}">
  <dimension ref="A1:O4"/>
  <sheetViews>
    <sheetView tabSelected="1" workbookViewId="0">
      <selection activeCell="Q30" sqref="Q30"/>
    </sheetView>
  </sheetViews>
  <sheetFormatPr defaultRowHeight="14.5" x14ac:dyDescent="0.35"/>
  <sheetData>
    <row r="1" spans="1:15" ht="68" x14ac:dyDescent="1.55">
      <c r="A1" s="4"/>
      <c r="B1" s="5" t="s">
        <v>50</v>
      </c>
      <c r="C1" s="4"/>
      <c r="D1" s="4"/>
      <c r="E1" s="4"/>
      <c r="F1" s="4"/>
      <c r="G1" s="4"/>
      <c r="H1" s="4"/>
      <c r="I1" s="4"/>
      <c r="J1" s="4"/>
      <c r="K1" s="4"/>
      <c r="L1" s="4"/>
      <c r="M1" s="4"/>
      <c r="N1" s="4"/>
      <c r="O1" s="4"/>
    </row>
    <row r="2" spans="1:15" x14ac:dyDescent="0.35">
      <c r="A2" s="4"/>
      <c r="B2" s="4"/>
      <c r="C2" s="4"/>
      <c r="D2" s="4"/>
      <c r="E2" s="4"/>
      <c r="F2" s="4"/>
      <c r="G2" s="4"/>
      <c r="H2" s="4"/>
      <c r="I2" s="4"/>
      <c r="J2" s="4"/>
      <c r="K2" s="4"/>
      <c r="L2" s="4"/>
      <c r="M2" s="4"/>
      <c r="N2" s="4"/>
      <c r="O2" s="4"/>
    </row>
    <row r="3" spans="1:15" x14ac:dyDescent="0.35">
      <c r="A3" s="3"/>
    </row>
    <row r="4" spans="1:15" x14ac:dyDescent="0.35">
      <c r="A4" s="3"/>
      <c r="F4"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Venkata Ayyappa Anudeep Kolla</cp:lastModifiedBy>
  <dcterms:created xsi:type="dcterms:W3CDTF">2022-03-18T02:50:57Z</dcterms:created>
  <dcterms:modified xsi:type="dcterms:W3CDTF">2026-04-05T05:45:16Z</dcterms:modified>
</cp:coreProperties>
</file>